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目次" sheetId="1" state="visible" r:id="rId3"/>
    <sheet name="h1_床コマ数" sheetId="2" state="visible" r:id="rId4"/>
    <sheet name="h2_ダックカーブ" sheetId="3" state="visible" r:id="rId5"/>
    <sheet name="h3_バックテスト" sheetId="4" state="visible" r:id="rId6"/>
    <sheet name="h4_TB4hスプレッド" sheetId="5" state="visible" r:id="rId7"/>
    <sheet name="h5_分断の方向転換"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<sst xmlns="http://schemas.openxmlformats.org/spreadsheetml/2006/main" count="93" uniqueCount="56">
  <si>
    <r>
      <rPr>
        <b val="true"/>
        <sz val="14"/>
        <color rgb="FF1F3864"/>
        <rFont val="Noto Sans CJK SC"/>
        <family val="2"/>
      </rPr>
      <t xml:space="preserve">北海道 簡易分析（</t>
    </r>
    <r>
      <rPr>
        <b val="true"/>
        <sz val="14"/>
        <color rgb="FF1F3864"/>
        <rFont val="Yu Gothic"/>
        <family val="0"/>
        <charset val="1"/>
      </rPr>
      <t xml:space="preserve">JEPX</t>
    </r>
    <r>
      <rPr>
        <b val="true"/>
        <sz val="14"/>
        <color rgb="FF1F3864"/>
        <rFont val="Noto Sans CJK SC"/>
        <family val="2"/>
      </rPr>
      <t xml:space="preserve">エリアプライスのみで実施可能な範囲）</t>
    </r>
  </si>
  <si>
    <r>
      <rPr>
        <sz val="9"/>
        <color rgb="FF68758A"/>
        <rFont val="Noto Sans CJK SC"/>
        <family val="2"/>
      </rPr>
      <t xml:space="preserve">目的</t>
    </r>
    <r>
      <rPr>
        <sz val="9"/>
        <color rgb="FF68758A"/>
        <rFont val="Yu Gothic"/>
        <family val="0"/>
        <charset val="1"/>
      </rPr>
      <t xml:space="preserve">:</t>
    </r>
    <r>
      <rPr>
        <sz val="9"/>
        <color rgb="FF68758A"/>
        <rFont val="Noto Sans CJK SC"/>
        <family val="2"/>
      </rPr>
      <t xml:space="preserve">「北海道でも面白い結果が得られるのか」への回答材料。九州と同一仕様のパイプラインをエリアプライス列の切替のみで適用。</t>
    </r>
  </si>
  <si>
    <r>
      <rPr>
        <sz val="9"/>
        <color rgb="FF68758A"/>
        <rFont val="Noto Sans CJK SC"/>
        <family val="2"/>
      </rPr>
      <t xml:space="preserve">生成</t>
    </r>
    <r>
      <rPr>
        <sz val="9"/>
        <color rgb="FF68758A"/>
        <rFont val="Yu Gothic"/>
        <family val="0"/>
        <charset val="1"/>
      </rPr>
      <t xml:space="preserve">: thesis/analysis/10_hokkaido_quick_xlsx.py</t>
    </r>
    <r>
      <rPr>
        <sz val="9"/>
        <color rgb="FF68758A"/>
        <rFont val="Noto Sans CJK SC"/>
        <family val="2"/>
      </rPr>
      <t xml:space="preserve">（</t>
    </r>
    <r>
      <rPr>
        <sz val="9"/>
        <color rgb="FF68758A"/>
        <rFont val="Yu Gothic"/>
        <family val="0"/>
        <charset val="1"/>
      </rPr>
      <t xml:space="preserve">2026</t>
    </r>
    <r>
      <rPr>
        <sz val="9"/>
        <color rgb="FF68758A"/>
        <rFont val="Noto Sans CJK SC"/>
        <family val="2"/>
      </rPr>
      <t xml:space="preserve">年</t>
    </r>
    <r>
      <rPr>
        <sz val="9"/>
        <color rgb="FF68758A"/>
        <rFont val="Yu Gothic"/>
        <family val="0"/>
        <charset val="1"/>
      </rPr>
      <t xml:space="preserve">7</t>
    </r>
    <r>
      <rPr>
        <sz val="9"/>
        <color rgb="FF68758A"/>
        <rFont val="Noto Sans CJK SC"/>
        <family val="2"/>
      </rPr>
      <t xml:space="preserve">月</t>
    </r>
    <r>
      <rPr>
        <sz val="9"/>
        <color rgb="FF68758A"/>
        <rFont val="Yu Gothic"/>
        <family val="0"/>
        <charset val="1"/>
      </rPr>
      <t xml:space="preserve">27</t>
    </r>
    <r>
      <rPr>
        <sz val="9"/>
        <color rgb="FF68758A"/>
        <rFont val="Noto Sans CJK SC"/>
        <family val="2"/>
      </rPr>
      <t xml:space="preserve">日）。需給実績が必要な分析（出力制御日数・戦略</t>
    </r>
    <r>
      <rPr>
        <sz val="9"/>
        <color rgb="FF68758A"/>
        <rFont val="Yu Gothic"/>
        <family val="0"/>
        <charset val="1"/>
      </rPr>
      <t xml:space="preserve">b</t>
    </r>
    <r>
      <rPr>
        <sz val="9"/>
        <color rgb="FF68758A"/>
        <rFont val="Noto Sans CJK SC"/>
        <family val="2"/>
      </rPr>
      <t xml:space="preserve">・風力帯域分解・需給内訳）は北海道需給実績</t>
    </r>
    <r>
      <rPr>
        <sz val="9"/>
        <color rgb="FF68758A"/>
        <rFont val="Yu Gothic"/>
        <family val="0"/>
        <charset val="1"/>
      </rPr>
      <t xml:space="preserve">CSV</t>
    </r>
    <r>
      <rPr>
        <sz val="9"/>
        <color rgb="FF68758A"/>
        <rFont val="Noto Sans CJK SC"/>
        <family val="2"/>
      </rPr>
      <t xml:space="preserve">取得後に追加。</t>
    </r>
  </si>
  <si>
    <t xml:space="preserve">シート</t>
  </si>
  <si>
    <t xml:space="preserve">内容</t>
  </si>
  <si>
    <t xml:space="preserve">キーメッセージ</t>
  </si>
  <si>
    <r>
      <rPr>
        <sz val="10"/>
        <rFont val="Yu Gothic"/>
        <family val="0"/>
        <charset val="1"/>
      </rPr>
      <t xml:space="preserve">h1_</t>
    </r>
    <r>
      <rPr>
        <sz val="10"/>
        <rFont val="Noto Sans CJK SC"/>
        <family val="2"/>
      </rPr>
      <t xml:space="preserve">床コマ数</t>
    </r>
  </si>
  <si>
    <r>
      <rPr>
        <sz val="10"/>
        <rFont val="Yu Gothic"/>
        <family val="0"/>
        <charset val="1"/>
      </rPr>
      <t xml:space="preserve">0.01</t>
    </r>
    <r>
      <rPr>
        <sz val="10"/>
        <rFont val="Noto Sans CJK SC"/>
        <family val="2"/>
      </rPr>
      <t xml:space="preserve">円コマ数（北海道 </t>
    </r>
    <r>
      <rPr>
        <sz val="10"/>
        <rFont val="Yu Gothic"/>
        <family val="0"/>
        <charset val="1"/>
      </rPr>
      <t xml:space="preserve">vs </t>
    </r>
    <r>
      <rPr>
        <sz val="10"/>
        <rFont val="Noto Sans CJK SC"/>
        <family val="2"/>
      </rPr>
      <t xml:space="preserve">九州）</t>
    </r>
  </si>
  <si>
    <r>
      <rPr>
        <sz val="10"/>
        <rFont val="Yu Gothic"/>
        <family val="0"/>
        <charset val="1"/>
      </rPr>
      <t xml:space="preserve">FY2020</t>
    </r>
    <r>
      <rPr>
        <sz val="10"/>
        <rFont val="Noto Sans CJK SC"/>
        <family val="2"/>
      </rPr>
      <t xml:space="preserve">初出現→</t>
    </r>
    <r>
      <rPr>
        <sz val="10"/>
        <rFont val="Yu Gothic"/>
        <family val="0"/>
        <charset val="1"/>
      </rPr>
      <t xml:space="preserve">FY2022</t>
    </r>
    <r>
      <rPr>
        <sz val="10"/>
        <rFont val="Noto Sans CJK SC"/>
        <family val="2"/>
      </rPr>
      <t xml:space="preserve">以降常態化。九州の約半分＝「これから」の初期段階</t>
    </r>
  </si>
  <si>
    <r>
      <rPr>
        <sz val="10"/>
        <rFont val="Yu Gothic"/>
        <family val="0"/>
        <charset val="1"/>
      </rPr>
      <t xml:space="preserve">h2_</t>
    </r>
    <r>
      <rPr>
        <sz val="10"/>
        <rFont val="Noto Sans CJK SC"/>
        <family val="2"/>
      </rPr>
      <t xml:space="preserve">ダックカーブ</t>
    </r>
  </si>
  <si>
    <t xml:space="preserve">時間帯別平均価格カーブ（北海道）</t>
  </si>
  <si>
    <r>
      <rPr>
        <sz val="10"/>
        <rFont val="Noto Sans CJK SC"/>
        <family val="2"/>
      </rPr>
      <t xml:space="preserve">昼の谷が浅く朝夕ピークが残る（九州と形状が異なる）。昼の沈みは</t>
    </r>
    <r>
      <rPr>
        <sz val="10"/>
        <rFont val="Yu Gothic"/>
        <family val="0"/>
        <charset val="1"/>
      </rPr>
      <t xml:space="preserve">FY2023</t>
    </r>
    <r>
      <rPr>
        <sz val="10"/>
        <rFont val="Noto Sans CJK SC"/>
        <family val="2"/>
      </rPr>
      <t xml:space="preserve">以降に出現</t>
    </r>
  </si>
  <si>
    <r>
      <rPr>
        <sz val="10"/>
        <rFont val="Yu Gothic"/>
        <family val="0"/>
        <charset val="1"/>
      </rPr>
      <t xml:space="preserve">h3_</t>
    </r>
    <r>
      <rPr>
        <sz val="10"/>
        <rFont val="Noto Sans CJK SC"/>
        <family val="2"/>
      </rPr>
      <t xml:space="preserve">バックテスト</t>
    </r>
  </si>
  <si>
    <t xml:space="preserve">裁定価値（完全予見・前日価格）</t>
  </si>
  <si>
    <r>
      <rPr>
        <sz val="10"/>
        <rFont val="Noto Sans CJK SC"/>
        <family val="2"/>
      </rPr>
      <t xml:space="preserve">直近</t>
    </r>
    <r>
      <rPr>
        <sz val="10"/>
        <rFont val="Yu Gothic"/>
        <family val="0"/>
        <charset val="1"/>
      </rPr>
      <t xml:space="preserve">0.96</t>
    </r>
    <r>
      <rPr>
        <sz val="10"/>
        <rFont val="Noto Sans CJK SC"/>
        <family val="2"/>
      </rPr>
      <t xml:space="preserve">〜</t>
    </r>
    <r>
      <rPr>
        <sz val="10"/>
        <rFont val="Yu Gothic"/>
        <family val="0"/>
        <charset val="1"/>
      </rPr>
      <t xml:space="preserve">1.15</t>
    </r>
    <r>
      <rPr>
        <sz val="10"/>
        <rFont val="Noto Sans CJK SC"/>
        <family val="2"/>
      </rPr>
      <t xml:space="preserve">万円</t>
    </r>
    <r>
      <rPr>
        <sz val="10"/>
        <rFont val="Yu Gothic"/>
        <family val="0"/>
        <charset val="1"/>
      </rPr>
      <t xml:space="preserve">/kW-</t>
    </r>
    <r>
      <rPr>
        <sz val="10"/>
        <rFont val="Noto Sans CJK SC"/>
        <family val="2"/>
      </rPr>
      <t xml:space="preserve">年で九州と同水準。ただし</t>
    </r>
    <r>
      <rPr>
        <sz val="10"/>
        <rFont val="Yu Gothic"/>
        <family val="0"/>
        <charset val="1"/>
      </rPr>
      <t xml:space="preserve">a</t>
    </r>
    <r>
      <rPr>
        <sz val="10"/>
        <rFont val="Noto Sans CJK SC"/>
        <family val="2"/>
      </rPr>
      <t xml:space="preserve">捕捉率</t>
    </r>
    <r>
      <rPr>
        <sz val="10"/>
        <rFont val="Yu Gothic"/>
        <family val="0"/>
        <charset val="1"/>
      </rPr>
      <t xml:space="preserve">66</t>
    </r>
    <r>
      <rPr>
        <sz val="10"/>
        <rFont val="Noto Sans CJK SC"/>
        <family val="2"/>
      </rPr>
      <t xml:space="preserve">〜</t>
    </r>
    <r>
      <rPr>
        <sz val="10"/>
        <rFont val="Yu Gothic"/>
        <family val="0"/>
        <charset val="1"/>
      </rPr>
      <t xml:space="preserve">69%</t>
    </r>
    <r>
      <rPr>
        <sz val="10"/>
        <rFont val="Noto Sans CJK SC"/>
        <family val="2"/>
      </rPr>
      <t xml:space="preserve">は九州（</t>
    </r>
    <r>
      <rPr>
        <sz val="10"/>
        <rFont val="Yu Gothic"/>
        <family val="0"/>
        <charset val="1"/>
      </rPr>
      <t xml:space="preserve">77</t>
    </r>
    <r>
      <rPr>
        <sz val="10"/>
        <rFont val="Noto Sans CJK SC"/>
        <family val="2"/>
      </rPr>
      <t xml:space="preserve">〜</t>
    </r>
    <r>
      <rPr>
        <sz val="10"/>
        <rFont val="Yu Gothic"/>
        <family val="0"/>
        <charset val="1"/>
      </rPr>
      <t xml:space="preserve">80%</t>
    </r>
    <r>
      <rPr>
        <sz val="10"/>
        <rFont val="Noto Sans CJK SC"/>
        <family val="2"/>
      </rPr>
      <t xml:space="preserve">）より低い＝形状の予測可能性が低い</t>
    </r>
  </si>
  <si>
    <r>
      <rPr>
        <sz val="10"/>
        <rFont val="Yu Gothic"/>
        <family val="0"/>
        <charset val="1"/>
      </rPr>
      <t xml:space="preserve">h4_TB4h</t>
    </r>
    <r>
      <rPr>
        <sz val="10"/>
        <rFont val="Noto Sans CJK SC"/>
        <family val="2"/>
      </rPr>
      <t xml:space="preserve">スプレッド</t>
    </r>
  </si>
  <si>
    <t xml:space="preserve">スプレッドの年度推移</t>
  </si>
  <si>
    <r>
      <rPr>
        <sz val="10"/>
        <rFont val="Yu Gothic"/>
        <family val="0"/>
        <charset val="1"/>
      </rPr>
      <t xml:space="preserve">FY2016</t>
    </r>
    <r>
      <rPr>
        <sz val="10"/>
        <rFont val="Noto Sans CJK SC"/>
        <family val="2"/>
      </rPr>
      <t xml:space="preserve">から高水準（冬季逼迫型）→</t>
    </r>
    <r>
      <rPr>
        <sz val="10"/>
        <rFont val="Yu Gothic"/>
        <family val="0"/>
        <charset val="1"/>
      </rPr>
      <t xml:space="preserve">FY2020</t>
    </r>
    <r>
      <rPr>
        <sz val="10"/>
        <rFont val="Noto Sans CJK SC"/>
        <family val="2"/>
      </rPr>
      <t xml:space="preserve">底→再拡大。九州型の太陽光単調拡大と経路が異なる</t>
    </r>
  </si>
  <si>
    <r>
      <rPr>
        <sz val="10"/>
        <rFont val="Yu Gothic"/>
        <family val="0"/>
        <charset val="1"/>
      </rPr>
      <t xml:space="preserve">h5_</t>
    </r>
    <r>
      <rPr>
        <sz val="10"/>
        <rFont val="Noto Sans CJK SC"/>
        <family val="2"/>
      </rPr>
      <t xml:space="preserve">分断の方向転換</t>
    </r>
  </si>
  <si>
    <t xml:space="preserve">市場分断の方向と値差</t>
  </si>
  <si>
    <r>
      <rPr>
        <sz val="10"/>
        <rFont val="Noto Sans CJK SC"/>
        <family val="2"/>
      </rPr>
      <t xml:space="preserve">高値分断</t>
    </r>
    <r>
      <rPr>
        <sz val="10"/>
        <rFont val="Yu Gothic"/>
        <family val="0"/>
        <charset val="1"/>
      </rPr>
      <t xml:space="preserve">87</t>
    </r>
    <r>
      <rPr>
        <sz val="10"/>
        <rFont val="Noto Sans CJK SC"/>
        <family val="2"/>
      </rPr>
      <t xml:space="preserve">〜</t>
    </r>
    <r>
      <rPr>
        <sz val="10"/>
        <rFont val="Yu Gothic"/>
        <family val="0"/>
        <charset val="1"/>
      </rPr>
      <t xml:space="preserve">92%→</t>
    </r>
    <r>
      <rPr>
        <sz val="10"/>
        <rFont val="Noto Sans CJK SC"/>
        <family val="2"/>
      </rPr>
      <t xml:space="preserve">約</t>
    </r>
    <r>
      <rPr>
        <sz val="10"/>
        <rFont val="Yu Gothic"/>
        <family val="0"/>
        <charset val="1"/>
      </rPr>
      <t xml:space="preserve">60%</t>
    </r>
    <r>
      <rPr>
        <sz val="10"/>
        <rFont val="Noto Sans CJK SC"/>
        <family val="2"/>
      </rPr>
      <t xml:space="preserve">、安値分断</t>
    </r>
    <r>
      <rPr>
        <sz val="10"/>
        <rFont val="Yu Gothic"/>
        <family val="0"/>
        <charset val="1"/>
      </rPr>
      <t xml:space="preserve">1</t>
    </r>
    <r>
      <rPr>
        <sz val="10"/>
        <rFont val="Noto Sans CJK SC"/>
        <family val="2"/>
      </rPr>
      <t xml:space="preserve">〜</t>
    </r>
    <r>
      <rPr>
        <sz val="10"/>
        <rFont val="Yu Gothic"/>
        <family val="0"/>
        <charset val="1"/>
      </rPr>
      <t xml:space="preserve">5%→30%</t>
    </r>
    <r>
      <rPr>
        <sz val="10"/>
        <rFont val="Noto Sans CJK SC"/>
        <family val="2"/>
      </rPr>
      <t xml:space="preserve">前後。余剰閉じ込め型への転換が既に進行</t>
    </r>
  </si>
  <si>
    <r>
      <rPr>
        <b val="true"/>
        <sz val="13"/>
        <color rgb="FF1F3864"/>
        <rFont val="Yu Gothic"/>
        <family val="0"/>
        <charset val="1"/>
      </rPr>
      <t xml:space="preserve">h1 </t>
    </r>
    <r>
      <rPr>
        <b val="true"/>
        <sz val="13"/>
        <color rgb="FF1F3864"/>
        <rFont val="Noto Sans CJK SC"/>
        <family val="2"/>
      </rPr>
      <t xml:space="preserve">下限価格</t>
    </r>
    <r>
      <rPr>
        <b val="true"/>
        <sz val="13"/>
        <color rgb="FF1F3864"/>
        <rFont val="Yu Gothic"/>
        <family val="0"/>
        <charset val="1"/>
      </rPr>
      <t xml:space="preserve">0.01</t>
    </r>
    <r>
      <rPr>
        <b val="true"/>
        <sz val="13"/>
        <color rgb="FF1F3864"/>
        <rFont val="Noto Sans CJK SC"/>
        <family val="2"/>
      </rPr>
      <t xml:space="preserve">円への張り付きコマ数（</t>
    </r>
    <r>
      <rPr>
        <b val="true"/>
        <sz val="13"/>
        <color rgb="FF1F3864"/>
        <rFont val="Yu Gothic"/>
        <family val="0"/>
        <charset val="1"/>
      </rPr>
      <t xml:space="preserve">30</t>
    </r>
    <r>
      <rPr>
        <b val="true"/>
        <sz val="13"/>
        <color rgb="FF1F3864"/>
        <rFont val="Noto Sans CJK SC"/>
        <family val="2"/>
      </rPr>
      <t xml:space="preserve">分コマ・年度計）：北海道は「これから」の初期段階</t>
    </r>
  </si>
  <si>
    <r>
      <rPr>
        <sz val="9"/>
        <color rgb="FF68758A"/>
        <rFont val="Noto Sans CJK SC"/>
        <family val="2"/>
      </rPr>
      <t xml:space="preserve">北海道は</t>
    </r>
    <r>
      <rPr>
        <sz val="9"/>
        <color rgb="FF68758A"/>
        <rFont val="Yu Gothic"/>
        <family val="0"/>
        <charset val="1"/>
      </rPr>
      <t xml:space="preserve">FY2020</t>
    </r>
    <r>
      <rPr>
        <sz val="9"/>
        <color rgb="FF68758A"/>
        <rFont val="Noto Sans CJK SC"/>
        <family val="2"/>
      </rPr>
      <t xml:space="preserve">に初出現し</t>
    </r>
    <r>
      <rPr>
        <sz val="9"/>
        <color rgb="FF68758A"/>
        <rFont val="Yu Gothic"/>
        <family val="0"/>
        <charset val="1"/>
      </rPr>
      <t xml:space="preserve">FY2022</t>
    </r>
    <r>
      <rPr>
        <sz val="9"/>
        <color rgb="FF68758A"/>
        <rFont val="Noto Sans CJK SC"/>
        <family val="2"/>
      </rPr>
      <t xml:space="preserve">以降に常態化（ピーク</t>
    </r>
    <r>
      <rPr>
        <sz val="9"/>
        <color rgb="FF68758A"/>
        <rFont val="Yu Gothic"/>
        <family val="0"/>
        <charset val="1"/>
      </rPr>
      <t xml:space="preserve">861</t>
    </r>
    <r>
      <rPr>
        <sz val="9"/>
        <color rgb="FF68758A"/>
        <rFont val="Noto Sans CJK SC"/>
        <family val="2"/>
      </rPr>
      <t xml:space="preserve">、</t>
    </r>
    <r>
      <rPr>
        <sz val="9"/>
        <color rgb="FF68758A"/>
        <rFont val="Yu Gothic"/>
        <family val="0"/>
        <charset val="1"/>
      </rPr>
      <t xml:space="preserve">FY2025</t>
    </r>
    <r>
      <rPr>
        <sz val="9"/>
        <color rgb="FF68758A"/>
        <rFont val="Noto Sans CJK SC"/>
        <family val="2"/>
      </rPr>
      <t xml:space="preserve">は</t>
    </r>
    <r>
      <rPr>
        <sz val="9"/>
        <color rgb="FF68758A"/>
        <rFont val="Yu Gothic"/>
        <family val="0"/>
        <charset val="1"/>
      </rPr>
      <t xml:space="preserve">473</t>
    </r>
    <r>
      <rPr>
        <sz val="9"/>
        <color rgb="FF68758A"/>
        <rFont val="Noto Sans CJK SC"/>
        <family val="2"/>
      </rPr>
      <t xml:space="preserve">＝九州の約半分）。北海道の出力制御初回は</t>
    </r>
    <r>
      <rPr>
        <sz val="9"/>
        <color rgb="FF68758A"/>
        <rFont val="Yu Gothic"/>
        <family val="0"/>
        <charset val="1"/>
      </rPr>
      <t xml:space="preserve">2022</t>
    </r>
    <r>
      <rPr>
        <sz val="9"/>
        <color rgb="FF68758A"/>
        <rFont val="Noto Sans CJK SC"/>
        <family val="2"/>
      </rPr>
      <t xml:space="preserve">年</t>
    </r>
    <r>
      <rPr>
        <sz val="9"/>
        <color rgb="FF68758A"/>
        <rFont val="Yu Gothic"/>
        <family val="0"/>
        <charset val="1"/>
      </rPr>
      <t xml:space="preserve">5</t>
    </r>
    <r>
      <rPr>
        <sz val="9"/>
        <color rgb="FF68758A"/>
        <rFont val="Noto Sans CJK SC"/>
        <family val="2"/>
      </rPr>
      <t xml:space="preserve">月</t>
    </r>
    <r>
      <rPr>
        <sz val="9"/>
        <color rgb="FF68758A"/>
        <rFont val="Yu Gothic"/>
        <family val="0"/>
        <charset val="1"/>
      </rPr>
      <t xml:space="preserve">8</t>
    </r>
    <r>
      <rPr>
        <sz val="9"/>
        <color rgb="FF68758A"/>
        <rFont val="Noto Sans CJK SC"/>
        <family val="2"/>
      </rPr>
      <t xml:space="preserve">日。出力制御実施日数の併記は北海道需給実績の取得後に追加。再現</t>
    </r>
    <r>
      <rPr>
        <sz val="9"/>
        <color rgb="FF68758A"/>
        <rFont val="Yu Gothic"/>
        <family val="0"/>
        <charset val="1"/>
      </rPr>
      <t xml:space="preserve">: analysis/10</t>
    </r>
  </si>
  <si>
    <t xml:space="preserve">年度</t>
  </si>
  <si>
    <r>
      <rPr>
        <b val="true"/>
        <sz val="10"/>
        <color rgb="FFFFFFFF"/>
        <rFont val="Noto Sans CJK SC"/>
        <family val="2"/>
      </rPr>
      <t xml:space="preserve">北海道 </t>
    </r>
    <r>
      <rPr>
        <b val="true"/>
        <sz val="10"/>
        <color rgb="FFFFFFFF"/>
        <rFont val="Yu Gothic"/>
        <family val="0"/>
        <charset val="1"/>
      </rPr>
      <t xml:space="preserve">0.01</t>
    </r>
    <r>
      <rPr>
        <b val="true"/>
        <sz val="10"/>
        <color rgb="FFFFFFFF"/>
        <rFont val="Noto Sans CJK SC"/>
        <family val="2"/>
      </rPr>
      <t xml:space="preserve">円コマ数</t>
    </r>
  </si>
  <si>
    <t xml:space="preserve">（参考）九州</t>
  </si>
  <si>
    <t xml:space="preserve">FY2016</t>
  </si>
  <si>
    <t xml:space="preserve">FY2017</t>
  </si>
  <si>
    <t xml:space="preserve">FY2018</t>
  </si>
  <si>
    <t xml:space="preserve">FY2019</t>
  </si>
  <si>
    <t xml:space="preserve">FY2020</t>
  </si>
  <si>
    <t xml:space="preserve">FY2021</t>
  </si>
  <si>
    <t xml:space="preserve">FY2022</t>
  </si>
  <si>
    <t xml:space="preserve">FY2023</t>
  </si>
  <si>
    <t xml:space="preserve">FY2024</t>
  </si>
  <si>
    <t xml:space="preserve">FY2025</t>
  </si>
  <si>
    <r>
      <rPr>
        <b val="true"/>
        <sz val="13"/>
        <color rgb="FF1F3864"/>
        <rFont val="Yu Gothic"/>
        <family val="0"/>
        <charset val="1"/>
      </rPr>
      <t xml:space="preserve">h2 </t>
    </r>
    <r>
      <rPr>
        <b val="true"/>
        <sz val="13"/>
        <color rgb="FF1F3864"/>
        <rFont val="Noto Sans CJK SC"/>
        <family val="2"/>
      </rPr>
      <t xml:space="preserve">時間帯別平均価格カーブ（北海道エリアプライス、円</t>
    </r>
    <r>
      <rPr>
        <b val="true"/>
        <sz val="13"/>
        <color rgb="FF1F3864"/>
        <rFont val="Yu Gothic"/>
        <family val="0"/>
        <charset val="1"/>
      </rPr>
      <t xml:space="preserve">/kWh</t>
    </r>
    <r>
      <rPr>
        <b val="true"/>
        <sz val="13"/>
        <color rgb="FF1F3864"/>
        <rFont val="Noto Sans CJK SC"/>
        <family val="2"/>
      </rPr>
      <t xml:space="preserve">）</t>
    </r>
  </si>
  <si>
    <r>
      <rPr>
        <sz val="9"/>
        <color rgb="FF68758A"/>
        <rFont val="Noto Sans CJK SC"/>
        <family val="2"/>
      </rPr>
      <t xml:space="preserve">九州（太陽光の深い昼間陥没）と異なり、北海道は昼の谷が浅く夕方・朝のピークが残る形状。</t>
    </r>
    <r>
      <rPr>
        <sz val="9"/>
        <color rgb="FF68758A"/>
        <rFont val="Yu Gothic"/>
        <family val="0"/>
        <charset val="1"/>
      </rPr>
      <t xml:space="preserve">FY2023</t>
    </r>
    <r>
      <rPr>
        <sz val="9"/>
        <color rgb="FF68758A"/>
        <rFont val="Noto Sans CJK SC"/>
        <family val="2"/>
      </rPr>
      <t xml:space="preserve">以降に昼の沈み込みが出始めた段階。</t>
    </r>
    <r>
      <rPr>
        <sz val="9"/>
        <color rgb="FF68758A"/>
        <rFont val="Yu Gothic"/>
        <family val="0"/>
        <charset val="1"/>
      </rPr>
      <t xml:space="preserve">FY2022</t>
    </r>
    <r>
      <rPr>
        <sz val="9"/>
        <color rgb="FF68758A"/>
        <rFont val="Noto Sans CJK SC"/>
        <family val="2"/>
      </rPr>
      <t xml:space="preserve">（燃料危機）は表示対象外。再現</t>
    </r>
    <r>
      <rPr>
        <sz val="9"/>
        <color rgb="FF68758A"/>
        <rFont val="Yu Gothic"/>
        <family val="0"/>
        <charset val="1"/>
      </rPr>
      <t xml:space="preserve">: analysis/10</t>
    </r>
  </si>
  <si>
    <t xml:space="preserve">時刻</t>
  </si>
  <si>
    <r>
      <rPr>
        <b val="true"/>
        <sz val="13"/>
        <color rgb="FF1F3864"/>
        <rFont val="Yu Gothic"/>
        <family val="0"/>
        <charset val="1"/>
      </rPr>
      <t xml:space="preserve">h3 4</t>
    </r>
    <r>
      <rPr>
        <b val="true"/>
        <sz val="13"/>
        <color rgb="FF1F3864"/>
        <rFont val="Noto Sans CJK SC"/>
        <family val="2"/>
      </rPr>
      <t xml:space="preserve">時間蓄電池のスポット裁定価値（北海道・実績バックテスト）</t>
    </r>
  </si>
  <si>
    <r>
      <rPr>
        <sz val="9"/>
        <color rgb="FF68758A"/>
        <rFont val="Noto Sans CJK SC"/>
        <family val="2"/>
      </rPr>
      <t xml:space="preserve">仕様は九州と同一（</t>
    </r>
    <r>
      <rPr>
        <sz val="9"/>
        <color rgb="FF68758A"/>
        <rFont val="Yu Gothic"/>
        <family val="0"/>
        <charset val="1"/>
      </rPr>
      <t xml:space="preserve">1MW/4MWh</t>
    </r>
    <r>
      <rPr>
        <sz val="9"/>
        <color rgb="FF68758A"/>
        <rFont val="Noto Sans CJK SC"/>
        <family val="2"/>
      </rPr>
      <t xml:space="preserve">・効率</t>
    </r>
    <r>
      <rPr>
        <sz val="9"/>
        <color rgb="FF68758A"/>
        <rFont val="Yu Gothic"/>
        <family val="0"/>
        <charset val="1"/>
      </rPr>
      <t xml:space="preserve">85%</t>
    </r>
    <r>
      <rPr>
        <sz val="9"/>
        <color rgb="FF68758A"/>
        <rFont val="Noto Sans CJK SC"/>
        <family val="2"/>
      </rPr>
      <t xml:space="preserve">・日次</t>
    </r>
    <r>
      <rPr>
        <sz val="9"/>
        <color rgb="FF68758A"/>
        <rFont val="Yu Gothic"/>
        <family val="0"/>
        <charset val="1"/>
      </rPr>
      <t xml:space="preserve">1</t>
    </r>
    <r>
      <rPr>
        <sz val="9"/>
        <color rgb="FF68758A"/>
        <rFont val="Noto Sans CJK SC"/>
        <family val="2"/>
      </rPr>
      <t xml:space="preserve">サイクル・</t>
    </r>
    <r>
      <rPr>
        <sz val="9"/>
        <color rgb="FF68758A"/>
        <rFont val="Yu Gothic"/>
        <family val="0"/>
        <charset val="1"/>
      </rPr>
      <t xml:space="preserve">60</t>
    </r>
    <r>
      <rPr>
        <sz val="9"/>
        <color rgb="FF68758A"/>
        <rFont val="Noto Sans CJK SC"/>
        <family val="2"/>
      </rPr>
      <t xml:space="preserve">分粒度・下限推定）。</t>
    </r>
    <r>
      <rPr>
        <sz val="9"/>
        <color rgb="FF68758A"/>
        <rFont val="Yu Gothic"/>
        <family val="0"/>
        <charset val="1"/>
      </rPr>
      <t xml:space="preserve">b.</t>
    </r>
    <r>
      <rPr>
        <sz val="9"/>
        <color rgb="FF68758A"/>
        <rFont val="Noto Sans CJK SC"/>
        <family val="2"/>
      </rPr>
      <t xml:space="preserve">前日予測ベースは北海道需給実績（需要・太陽光）の取得後に追加。</t>
    </r>
    <r>
      <rPr>
        <sz val="9"/>
        <color rgb="FF68758A"/>
        <rFont val="Yu Gothic"/>
        <family val="0"/>
        <charset val="1"/>
      </rPr>
      <t xml:space="preserve">a</t>
    </r>
    <r>
      <rPr>
        <sz val="9"/>
        <color rgb="FF68758A"/>
        <rFont val="Noto Sans CJK SC"/>
        <family val="2"/>
      </rPr>
      <t xml:space="preserve">捕捉率は数式列（</t>
    </r>
    <r>
      <rPr>
        <sz val="9"/>
        <color rgb="FF68758A"/>
        <rFont val="Yu Gothic"/>
        <family val="0"/>
        <charset val="1"/>
      </rPr>
      <t xml:space="preserve">=C÷B</t>
    </r>
    <r>
      <rPr>
        <sz val="9"/>
        <color rgb="FF68758A"/>
        <rFont val="Noto Sans CJK SC"/>
        <family val="2"/>
      </rPr>
      <t xml:space="preserve">）。再現</t>
    </r>
    <r>
      <rPr>
        <sz val="9"/>
        <color rgb="FF68758A"/>
        <rFont val="Yu Gothic"/>
        <family val="0"/>
        <charset val="1"/>
      </rPr>
      <t xml:space="preserve">: analysis/10</t>
    </r>
  </si>
  <si>
    <r>
      <rPr>
        <b val="true"/>
        <sz val="10"/>
        <color rgb="FFFFFFFF"/>
        <rFont val="Noto Sans CJK SC"/>
        <family val="2"/>
      </rPr>
      <t xml:space="preserve">北海道 完全予見（円</t>
    </r>
    <r>
      <rPr>
        <b val="true"/>
        <sz val="10"/>
        <color rgb="FFFFFFFF"/>
        <rFont val="Yu Gothic"/>
        <family val="0"/>
        <charset val="1"/>
      </rPr>
      <t xml:space="preserve">/kW-</t>
    </r>
    <r>
      <rPr>
        <b val="true"/>
        <sz val="10"/>
        <color rgb="FFFFFFFF"/>
        <rFont val="Noto Sans CJK SC"/>
        <family val="2"/>
      </rPr>
      <t xml:space="preserve">年）</t>
    </r>
  </si>
  <si>
    <r>
      <rPr>
        <b val="true"/>
        <sz val="10"/>
        <color rgb="FFFFFFFF"/>
        <rFont val="Noto Sans CJK SC"/>
        <family val="2"/>
      </rPr>
      <t xml:space="preserve">北海道 </t>
    </r>
    <r>
      <rPr>
        <b val="true"/>
        <sz val="10"/>
        <color rgb="FFFFFFFF"/>
        <rFont val="Yu Gothic"/>
        <family val="0"/>
        <charset val="1"/>
      </rPr>
      <t xml:space="preserve">a.</t>
    </r>
    <r>
      <rPr>
        <b val="true"/>
        <sz val="10"/>
        <color rgb="FFFFFFFF"/>
        <rFont val="Noto Sans CJK SC"/>
        <family val="2"/>
      </rPr>
      <t xml:space="preserve">前日価格（円</t>
    </r>
    <r>
      <rPr>
        <b val="true"/>
        <sz val="10"/>
        <color rgb="FFFFFFFF"/>
        <rFont val="Yu Gothic"/>
        <family val="0"/>
        <charset val="1"/>
      </rPr>
      <t xml:space="preserve">/kW-</t>
    </r>
    <r>
      <rPr>
        <b val="true"/>
        <sz val="10"/>
        <color rgb="FFFFFFFF"/>
        <rFont val="Noto Sans CJK SC"/>
        <family val="2"/>
      </rPr>
      <t xml:space="preserve">年）</t>
    </r>
  </si>
  <si>
    <t xml:space="preserve">（参考）九州 完全予見</t>
  </si>
  <si>
    <r>
      <rPr>
        <b val="true"/>
        <sz val="10"/>
        <color rgb="FFFFFFFF"/>
        <rFont val="Yu Gothic"/>
        <family val="0"/>
        <charset val="1"/>
      </rPr>
      <t xml:space="preserve">a</t>
    </r>
    <r>
      <rPr>
        <b val="true"/>
        <sz val="10"/>
        <color rgb="FFFFFFFF"/>
        <rFont val="Noto Sans CJK SC"/>
        <family val="2"/>
      </rPr>
      <t xml:space="preserve">捕捉率</t>
    </r>
  </si>
  <si>
    <r>
      <rPr>
        <b val="true"/>
        <sz val="13"/>
        <color rgb="FF1F3864"/>
        <rFont val="Yu Gothic"/>
        <family val="0"/>
        <charset val="1"/>
      </rPr>
      <t xml:space="preserve">h4 </t>
    </r>
    <r>
      <rPr>
        <b val="true"/>
        <sz val="13"/>
        <color rgb="FF1F3864"/>
        <rFont val="Noto Sans CJK SC"/>
        <family val="2"/>
      </rPr>
      <t xml:space="preserve">日次</t>
    </r>
    <r>
      <rPr>
        <b val="true"/>
        <sz val="13"/>
        <color rgb="FF1F3864"/>
        <rFont val="Yu Gothic"/>
        <family val="0"/>
        <charset val="1"/>
      </rPr>
      <t xml:space="preserve">TB4h</t>
    </r>
    <r>
      <rPr>
        <b val="true"/>
        <sz val="13"/>
        <color rgb="FF1F3864"/>
        <rFont val="Noto Sans CJK SC"/>
        <family val="2"/>
      </rPr>
      <t xml:space="preserve">スプレッドの年度推移（円</t>
    </r>
    <r>
      <rPr>
        <b val="true"/>
        <sz val="13"/>
        <color rgb="FF1F3864"/>
        <rFont val="Yu Gothic"/>
        <family val="0"/>
        <charset val="1"/>
      </rPr>
      <t xml:space="preserve">/kWh</t>
    </r>
    <r>
      <rPr>
        <b val="true"/>
        <sz val="13"/>
        <color rgb="FF1F3864"/>
        <rFont val="Noto Sans CJK SC"/>
        <family val="2"/>
      </rPr>
      <t xml:space="preserve">）：北海道は九州型の単調拡大とは異なる履歴</t>
    </r>
  </si>
  <si>
    <r>
      <rPr>
        <sz val="9"/>
        <color rgb="FF68758A"/>
        <rFont val="Noto Sans CJK SC"/>
        <family val="2"/>
      </rPr>
      <t xml:space="preserve">各日の</t>
    </r>
    <r>
      <rPr>
        <sz val="9"/>
        <color rgb="FF68758A"/>
        <rFont val="Yu Gothic"/>
        <family val="0"/>
        <charset val="1"/>
      </rPr>
      <t xml:space="preserve">48</t>
    </r>
    <r>
      <rPr>
        <sz val="9"/>
        <color rgb="FF68758A"/>
        <rFont val="Noto Sans CJK SC"/>
        <family val="2"/>
      </rPr>
      <t xml:space="preserve">コマのうち上位</t>
    </r>
    <r>
      <rPr>
        <sz val="9"/>
        <color rgb="FF68758A"/>
        <rFont val="Yu Gothic"/>
        <family val="0"/>
        <charset val="1"/>
      </rPr>
      <t xml:space="preserve">8</t>
    </r>
    <r>
      <rPr>
        <sz val="9"/>
        <color rgb="FF68758A"/>
        <rFont val="Noto Sans CJK SC"/>
        <family val="2"/>
      </rPr>
      <t xml:space="preserve">コマ平均−下位</t>
    </r>
    <r>
      <rPr>
        <sz val="9"/>
        <color rgb="FF68758A"/>
        <rFont val="Yu Gothic"/>
        <family val="0"/>
        <charset val="1"/>
      </rPr>
      <t xml:space="preserve">8</t>
    </r>
    <r>
      <rPr>
        <sz val="9"/>
        <color rgb="FF68758A"/>
        <rFont val="Noto Sans CJK SC"/>
        <family val="2"/>
      </rPr>
      <t xml:space="preserve">コマ平均。北海道は</t>
    </r>
    <r>
      <rPr>
        <sz val="9"/>
        <color rgb="FF68758A"/>
        <rFont val="Yu Gothic"/>
        <family val="0"/>
        <charset val="1"/>
      </rPr>
      <t xml:space="preserve">FY2016</t>
    </r>
    <r>
      <rPr>
        <sz val="9"/>
        <color rgb="FF68758A"/>
        <rFont val="Noto Sans CJK SC"/>
        <family val="2"/>
      </rPr>
      <t xml:space="preserve">から高スプレッド（冬季逼迫型）→</t>
    </r>
    <r>
      <rPr>
        <sz val="9"/>
        <color rgb="FF68758A"/>
        <rFont val="Yu Gothic"/>
        <family val="0"/>
        <charset val="1"/>
      </rPr>
      <t xml:space="preserve">FY2020</t>
    </r>
    <r>
      <rPr>
        <sz val="9"/>
        <color rgb="FF68758A"/>
        <rFont val="Noto Sans CJK SC"/>
        <family val="2"/>
      </rPr>
      <t xml:space="preserve">に底→再拡大という経路で、太陽光起因の九州とドライバーが異なる。再現</t>
    </r>
    <r>
      <rPr>
        <sz val="9"/>
        <color rgb="FF68758A"/>
        <rFont val="Yu Gothic"/>
        <family val="0"/>
        <charset val="1"/>
      </rPr>
      <t xml:space="preserve">: analysis/10</t>
    </r>
  </si>
  <si>
    <r>
      <rPr>
        <b val="true"/>
        <sz val="10"/>
        <color rgb="FFFFFFFF"/>
        <rFont val="Noto Sans CJK SC"/>
        <family val="2"/>
      </rPr>
      <t xml:space="preserve">北海道 </t>
    </r>
    <r>
      <rPr>
        <b val="true"/>
        <sz val="10"/>
        <color rgb="FFFFFFFF"/>
        <rFont val="Yu Gothic"/>
        <family val="0"/>
        <charset val="1"/>
      </rPr>
      <t xml:space="preserve">25%</t>
    </r>
    <r>
      <rPr>
        <b val="true"/>
        <sz val="10"/>
        <color rgb="FFFFFFFF"/>
        <rFont val="Noto Sans CJK SC"/>
        <family val="2"/>
      </rPr>
      <t xml:space="preserve">分位</t>
    </r>
  </si>
  <si>
    <t xml:space="preserve">北海道 中央値</t>
  </si>
  <si>
    <r>
      <rPr>
        <b val="true"/>
        <sz val="10"/>
        <color rgb="FFFFFFFF"/>
        <rFont val="Noto Sans CJK SC"/>
        <family val="2"/>
      </rPr>
      <t xml:space="preserve">北海道 </t>
    </r>
    <r>
      <rPr>
        <b val="true"/>
        <sz val="10"/>
        <color rgb="FFFFFFFF"/>
        <rFont val="Yu Gothic"/>
        <family val="0"/>
        <charset val="1"/>
      </rPr>
      <t xml:space="preserve">75%</t>
    </r>
    <r>
      <rPr>
        <b val="true"/>
        <sz val="10"/>
        <color rgb="FFFFFFFF"/>
        <rFont val="Noto Sans CJK SC"/>
        <family val="2"/>
      </rPr>
      <t xml:space="preserve">分位</t>
    </r>
  </si>
  <si>
    <t xml:space="preserve">（参考）九州 中央値</t>
  </si>
  <si>
    <r>
      <rPr>
        <b val="true"/>
        <sz val="13"/>
        <color rgb="FF1F3864"/>
        <rFont val="Yu Gothic"/>
        <family val="0"/>
        <charset val="1"/>
      </rPr>
      <t xml:space="preserve">h5 </t>
    </r>
    <r>
      <rPr>
        <b val="true"/>
        <sz val="13"/>
        <color rgb="FF1F3864"/>
        <rFont val="Noto Sans CJK SC"/>
        <family val="2"/>
      </rPr>
      <t xml:space="preserve">市場分断の方向転換：「逼迫の高値エリア」から「余剰閉じ込めの安値方向」へ</t>
    </r>
  </si>
  <si>
    <r>
      <rPr>
        <sz val="9"/>
        <color rgb="FF68758A"/>
        <rFont val="Noto Sans CJK SC"/>
        <family val="2"/>
      </rPr>
      <t xml:space="preserve">高値分断率は</t>
    </r>
    <r>
      <rPr>
        <sz val="9"/>
        <color rgb="FF68758A"/>
        <rFont val="Yu Gothic"/>
        <family val="0"/>
        <charset val="1"/>
      </rPr>
      <t xml:space="preserve">FY2016-19</t>
    </r>
    <r>
      <rPr>
        <sz val="9"/>
        <color rgb="FF68758A"/>
        <rFont val="Noto Sans CJK SC"/>
        <family val="2"/>
      </rPr>
      <t xml:space="preserve">の</t>
    </r>
    <r>
      <rPr>
        <sz val="9"/>
        <color rgb="FF68758A"/>
        <rFont val="Yu Gothic"/>
        <family val="0"/>
        <charset val="1"/>
      </rPr>
      <t xml:space="preserve">87</t>
    </r>
    <r>
      <rPr>
        <sz val="9"/>
        <color rgb="FF68758A"/>
        <rFont val="Noto Sans CJK SC"/>
        <family val="2"/>
      </rPr>
      <t xml:space="preserve">〜</t>
    </r>
    <r>
      <rPr>
        <sz val="9"/>
        <color rgb="FF68758A"/>
        <rFont val="Yu Gothic"/>
        <family val="0"/>
        <charset val="1"/>
      </rPr>
      <t xml:space="preserve">92%</t>
    </r>
    <r>
      <rPr>
        <sz val="9"/>
        <color rgb="FF68758A"/>
        <rFont val="Noto Sans CJK SC"/>
        <family val="2"/>
      </rPr>
      <t xml:space="preserve">から約</t>
    </r>
    <r>
      <rPr>
        <sz val="9"/>
        <color rgb="FF68758A"/>
        <rFont val="Yu Gothic"/>
        <family val="0"/>
        <charset val="1"/>
      </rPr>
      <t xml:space="preserve">60%</t>
    </r>
    <r>
      <rPr>
        <sz val="9"/>
        <color rgb="FF68758A"/>
        <rFont val="Noto Sans CJK SC"/>
        <family val="2"/>
      </rPr>
      <t xml:space="preserve">へ低下、安値分断率は</t>
    </r>
    <r>
      <rPr>
        <sz val="9"/>
        <color rgb="FF68758A"/>
        <rFont val="Yu Gothic"/>
        <family val="0"/>
        <charset val="1"/>
      </rPr>
      <t xml:space="preserve">1</t>
    </r>
    <r>
      <rPr>
        <sz val="9"/>
        <color rgb="FF68758A"/>
        <rFont val="Noto Sans CJK SC"/>
        <family val="2"/>
      </rPr>
      <t xml:space="preserve">〜</t>
    </r>
    <r>
      <rPr>
        <sz val="9"/>
        <color rgb="FF68758A"/>
        <rFont val="Yu Gothic"/>
        <family val="0"/>
        <charset val="1"/>
      </rPr>
      <t xml:space="preserve">5%</t>
    </r>
    <r>
      <rPr>
        <sz val="9"/>
        <color rgb="FF68758A"/>
        <rFont val="Noto Sans CJK SC"/>
        <family val="2"/>
      </rPr>
      <t xml:space="preserve">から</t>
    </r>
    <r>
      <rPr>
        <sz val="9"/>
        <color rgb="FF68758A"/>
        <rFont val="Yu Gothic"/>
        <family val="0"/>
        <charset val="1"/>
      </rPr>
      <t xml:space="preserve">30%</t>
    </r>
    <r>
      <rPr>
        <sz val="9"/>
        <color rgb="FF68758A"/>
        <rFont val="Noto Sans CJK SC"/>
        <family val="2"/>
      </rPr>
      <t xml:space="preserve">前後へ増加。北海道−東北の平均値差も</t>
    </r>
    <r>
      <rPr>
        <sz val="9"/>
        <color rgb="FF68758A"/>
        <rFont val="Yu Gothic"/>
        <family val="0"/>
        <charset val="1"/>
      </rPr>
      <t xml:space="preserve">+2.6</t>
    </r>
    <r>
      <rPr>
        <sz val="9"/>
        <color rgb="FF68758A"/>
        <rFont val="Noto Sans CJK SC"/>
        <family val="2"/>
      </rPr>
      <t xml:space="preserve">〜</t>
    </r>
    <r>
      <rPr>
        <sz val="9"/>
        <color rgb="FF68758A"/>
        <rFont val="Yu Gothic"/>
        <family val="0"/>
        <charset val="1"/>
      </rPr>
      <t xml:space="preserve">4.6</t>
    </r>
    <r>
      <rPr>
        <sz val="9"/>
        <color rgb="FF68758A"/>
        <rFont val="Noto Sans CJK SC"/>
        <family val="2"/>
      </rPr>
      <t xml:space="preserve">円→ほぼ</t>
    </r>
    <r>
      <rPr>
        <sz val="9"/>
        <color rgb="FF68758A"/>
        <rFont val="Yu Gothic"/>
        <family val="0"/>
        <charset val="1"/>
      </rPr>
      <t xml:space="preserve">0</t>
    </r>
    <r>
      <rPr>
        <sz val="9"/>
        <color rgb="FF68758A"/>
        <rFont val="Noto Sans CJK SC"/>
        <family val="2"/>
      </rPr>
      <t xml:space="preserve">円へ（双方向に割れる構造に変化）。間接送電権の北海道→東北方向の商品化（</t>
    </r>
    <r>
      <rPr>
        <sz val="9"/>
        <color rgb="FF68758A"/>
        <rFont val="Yu Gothic"/>
        <family val="0"/>
        <charset val="1"/>
      </rPr>
      <t xml:space="preserve">2026</t>
    </r>
    <r>
      <rPr>
        <sz val="9"/>
        <color rgb="FF68758A"/>
        <rFont val="Noto Sans CJK SC"/>
        <family val="2"/>
      </rPr>
      <t xml:space="preserve">年度）と整合。再現</t>
    </r>
    <r>
      <rPr>
        <sz val="9"/>
        <color rgb="FF68758A"/>
        <rFont val="Yu Gothic"/>
        <family val="0"/>
        <charset val="1"/>
      </rPr>
      <t xml:space="preserve">: analysis/10</t>
    </r>
  </si>
  <si>
    <r>
      <rPr>
        <b val="true"/>
        <sz val="10"/>
        <color rgb="FFFFFFFF"/>
        <rFont val="Noto Sans CJK SC"/>
        <family val="2"/>
      </rPr>
      <t xml:space="preserve">高値分断率</t>
    </r>
    <r>
      <rPr>
        <b val="true"/>
        <sz val="10"/>
        <color rgb="FFFFFFFF"/>
        <rFont val="Yu Gothic"/>
        <family val="0"/>
        <charset val="1"/>
      </rPr>
      <t xml:space="preserve">%</t>
    </r>
    <r>
      <rPr>
        <b val="true"/>
        <sz val="10"/>
        <color rgb="FFFFFFFF"/>
        <rFont val="Noto Sans CJK SC"/>
        <family val="2"/>
      </rPr>
      <t xml:space="preserve">（北海道</t>
    </r>
    <r>
      <rPr>
        <b val="true"/>
        <sz val="10"/>
        <color rgb="FFFFFFFF"/>
        <rFont val="Yu Gothic"/>
        <family val="0"/>
        <charset val="1"/>
      </rPr>
      <t xml:space="preserve">&gt;</t>
    </r>
    <r>
      <rPr>
        <b val="true"/>
        <sz val="10"/>
        <color rgb="FFFFFFFF"/>
        <rFont val="Noto Sans CJK SC"/>
        <family val="2"/>
      </rPr>
      <t xml:space="preserve">システム）</t>
    </r>
  </si>
  <si>
    <r>
      <rPr>
        <b val="true"/>
        <sz val="10"/>
        <color rgb="FFFFFFFF"/>
        <rFont val="Noto Sans CJK SC"/>
        <family val="2"/>
      </rPr>
      <t xml:space="preserve">安値分断率</t>
    </r>
    <r>
      <rPr>
        <b val="true"/>
        <sz val="10"/>
        <color rgb="FFFFFFFF"/>
        <rFont val="Yu Gothic"/>
        <family val="0"/>
        <charset val="1"/>
      </rPr>
      <t xml:space="preserve">%</t>
    </r>
    <r>
      <rPr>
        <b val="true"/>
        <sz val="10"/>
        <color rgb="FFFFFFFF"/>
        <rFont val="Noto Sans CJK SC"/>
        <family val="2"/>
      </rPr>
      <t xml:space="preserve">（北海道</t>
    </r>
    <r>
      <rPr>
        <b val="true"/>
        <sz val="10"/>
        <color rgb="FFFFFFFF"/>
        <rFont val="Yu Gothic"/>
        <family val="0"/>
        <charset val="1"/>
      </rPr>
      <t xml:space="preserve">&lt;</t>
    </r>
    <r>
      <rPr>
        <b val="true"/>
        <sz val="10"/>
        <color rgb="FFFFFFFF"/>
        <rFont val="Noto Sans CJK SC"/>
        <family val="2"/>
      </rPr>
      <t xml:space="preserve">システム）</t>
    </r>
  </si>
  <si>
    <r>
      <rPr>
        <b val="true"/>
        <sz val="10"/>
        <color rgb="FFFFFFFF"/>
        <rFont val="Noto Sans CJK SC"/>
        <family val="2"/>
      </rPr>
      <t xml:space="preserve">北海道−東北 平均値差（円</t>
    </r>
    <r>
      <rPr>
        <b val="true"/>
        <sz val="10"/>
        <color rgb="FFFFFFFF"/>
        <rFont val="Yu Gothic"/>
        <family val="0"/>
        <charset val="1"/>
      </rPr>
      <t xml:space="preserve">/kWh</t>
    </r>
    <r>
      <rPr>
        <b val="true"/>
        <sz val="10"/>
        <color rgb="FFFFFFFF"/>
        <rFont val="Noto Sans CJK SC"/>
        <family val="2"/>
      </rPr>
      <t xml:space="preserve">）</t>
    </r>
  </si>
</sst>
</file>

<file path=xl/styles.xml><?xml version="1.0" encoding="utf-8"?>
<styleSheet xmlns="http://schemas.openxmlformats.org/spreadsheetml/2006/main">
  <numFmts count="5">
    <numFmt numFmtId="164" formatCode="General"/>
    <numFmt numFmtId="165" formatCode="0.00"/>
    <numFmt numFmtId="166" formatCode="#,##0"/>
    <numFmt numFmtId="167" formatCode="0%"/>
    <numFmt numFmtId="168" formatCode="0.0"/>
  </numFmts>
  <fonts count="19">
    <font>
      <sz val="11"/>
      <color theme="1"/>
      <name val="Calibri"/>
      <family val="2"/>
      <charset val="1"/>
    </font>
    <font>
      <sz val="10"/>
      <name val="Arial"/>
      <family val="0"/>
    </font>
    <font>
      <sz val="10"/>
      <name val="Arial"/>
      <family val="0"/>
    </font>
    <font>
      <sz val="10"/>
      <name val="Arial"/>
      <family val="0"/>
    </font>
    <font>
      <b val="true"/>
      <sz val="14"/>
      <color rgb="FF1F3864"/>
      <name val="Noto Sans CJK SC"/>
      <family val="2"/>
    </font>
    <font>
      <b val="true"/>
      <sz val="14"/>
      <color rgb="FF1F3864"/>
      <name val="Yu Gothic"/>
      <family val="0"/>
      <charset val="1"/>
    </font>
    <font>
      <sz val="9"/>
      <color rgb="FF68758A"/>
      <name val="Noto Sans CJK SC"/>
      <family val="2"/>
    </font>
    <font>
      <sz val="9"/>
      <color rgb="FF68758A"/>
      <name val="Yu Gothic"/>
      <family val="0"/>
      <charset val="1"/>
    </font>
    <font>
      <b val="true"/>
      <sz val="10"/>
      <color rgb="FFFFFFFF"/>
      <name val="Noto Sans CJK SC"/>
      <family val="2"/>
    </font>
    <font>
      <sz val="10"/>
      <name val="Yu Gothic"/>
      <family val="0"/>
      <charset val="1"/>
    </font>
    <font>
      <sz val="10"/>
      <name val="Noto Sans CJK SC"/>
      <family val="2"/>
    </font>
    <font>
      <b val="true"/>
      <sz val="13"/>
      <color rgb="FF1F3864"/>
      <name val="Yu Gothic"/>
      <family val="0"/>
      <charset val="1"/>
    </font>
    <font>
      <b val="true"/>
      <sz val="13"/>
      <color rgb="FF1F3864"/>
      <name val="Noto Sans CJK SC"/>
      <family val="2"/>
    </font>
    <font>
      <b val="true"/>
      <sz val="10"/>
      <color rgb="FFFFFFFF"/>
      <name val="Yu Gothic"/>
      <family val="0"/>
      <charset val="1"/>
    </font>
    <font>
      <b val="true"/>
      <sz val="18"/>
      <color rgb="FF000000"/>
      <name val="Calibri"/>
      <family val="2"/>
    </font>
    <font>
      <b val="true"/>
      <sz val="18"/>
      <color rgb="FF000000"/>
      <name val="Noto Sans CJK SC"/>
      <family val="2"/>
    </font>
    <font>
      <sz val="10"/>
      <color rgb="FF000000"/>
      <name val="Calibri"/>
      <family val="2"/>
    </font>
    <font>
      <b val="true"/>
      <sz val="10"/>
      <color rgb="FF000000"/>
      <name val="Noto Sans CJK SC"/>
      <family val="2"/>
    </font>
    <font>
      <b val="true"/>
      <sz val="10"/>
      <color rgb="FF000000"/>
      <name val="Calibri"/>
      <family val="2"/>
    </font>
  </fonts>
  <fills count="3">
    <fill>
      <patternFill patternType="none"/>
    </fill>
    <fill>
      <patternFill patternType="gray125"/>
    </fill>
    <fill>
      <patternFill patternType="solid">
        <fgColor rgb="FF184F95"/>
        <bgColor rgb="FF1F3864"/>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13" fillId="2" borderId="0" xfId="0" applyFont="true" applyBorder="false" applyAlignment="true" applyProtection="false">
      <alignment horizontal="center"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6DA7EC"/>
      <rgbColor rgb="FF993366"/>
      <rgbColor rgb="FFFFFFCC"/>
      <rgbColor rgb="FFCDE2FB"/>
      <rgbColor rgb="FF660066"/>
      <rgbColor rgb="FFEC835A"/>
      <rgbColor rgb="FF0066CC"/>
      <rgbColor rgb="FFB7D3F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A78D6"/>
      <rgbColor rgb="FF33CCCC"/>
      <rgbColor rgb="FF99CC00"/>
      <rgbColor rgb="FFFFCC00"/>
      <rgbColor rgb="FFFF9900"/>
      <rgbColor rgb="FFFF6600"/>
      <rgbColor rgb="FF68758A"/>
      <rgbColor rgb="FF969696"/>
      <rgbColor rgb="FF1F3864"/>
      <rgbColor rgb="FF339966"/>
      <rgbColor rgb="FF003300"/>
      <rgbColor rgb="FF333300"/>
      <rgbColor rgb="FF993300"/>
      <rgbColor rgb="FF993366"/>
      <rgbColor rgb="FF184F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0.01円/kWh 約定コマ数（年度計）</a:t>
            </a:r>
          </a:p>
        </c:rich>
      </c:tx>
      <c:overlay val="0"/>
      <c:spPr>
        <a:noFill/>
        <a:ln w="0">
          <a:noFill/>
        </a:ln>
      </c:spPr>
    </c:title>
    <c:autoTitleDeleted val="0"/>
    <c:plotArea>
      <c:barChart>
        <c:barDir val="col"/>
        <c:grouping val="clustered"/>
        <c:varyColors val="0"/>
        <c:ser>
          <c:idx val="0"/>
          <c:order val="0"/>
          <c:tx>
            <c:strRef>
              <c:f>h1_床コマ数!B4</c:f>
              <c:strCache>
                <c:ptCount val="1"/>
                <c:pt idx="0">
                  <c:v>北海道 0.01円コマ数</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h1_床コマ数!$A$5:$A$14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h1_床コマ数!$B$5:$B$14</c:f>
              <c:numCache>
                <c:formatCode>General</c:formatCode>
                <c:ptCount val="10"/>
                <c:pt idx="0">
                  <c:v>16</c:v>
                </c:pt>
                <c:pt idx="1">
                  <c:v>0</c:v>
                </c:pt>
                <c:pt idx="2">
                  <c:v>0</c:v>
                </c:pt>
                <c:pt idx="3">
                  <c:v>0</c:v>
                </c:pt>
                <c:pt idx="4">
                  <c:v>79</c:v>
                </c:pt>
                <c:pt idx="5">
                  <c:v>177</c:v>
                </c:pt>
                <c:pt idx="6">
                  <c:v>861</c:v>
                </c:pt>
                <c:pt idx="7">
                  <c:v>621</c:v>
                </c:pt>
                <c:pt idx="8">
                  <c:v>348</c:v>
                </c:pt>
                <c:pt idx="9">
                  <c:v>473</c:v>
                </c:pt>
              </c:numCache>
            </c:numRef>
          </c:val>
        </c:ser>
        <c:ser>
          <c:idx val="1"/>
          <c:order val="1"/>
          <c:tx>
            <c:strRef>
              <c:f>h1_床コマ数!C4</c:f>
              <c:strCache>
                <c:ptCount val="1"/>
                <c:pt idx="0">
                  <c:v>（参考）九州</c:v>
                </c:pt>
              </c:strCache>
            </c:strRef>
          </c:tx>
          <c:spPr>
            <a:solidFill>
              <a:srgbClr val="cde2f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h1_床コマ数!$A$5:$A$14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h1_床コマ数!$C$5:$C$14</c:f>
              <c:numCache>
                <c:formatCode>General</c:formatCode>
                <c:ptCount val="10"/>
                <c:pt idx="0">
                  <c:v>0</c:v>
                </c:pt>
                <c:pt idx="1">
                  <c:v>0</c:v>
                </c:pt>
                <c:pt idx="2">
                  <c:v>39</c:v>
                </c:pt>
                <c:pt idx="3">
                  <c:v>693</c:v>
                </c:pt>
                <c:pt idx="4">
                  <c:v>867</c:v>
                </c:pt>
                <c:pt idx="5">
                  <c:v>1515</c:v>
                </c:pt>
                <c:pt idx="6">
                  <c:v>1909</c:v>
                </c:pt>
                <c:pt idx="7">
                  <c:v>2178</c:v>
                </c:pt>
                <c:pt idx="8">
                  <c:v>1167</c:v>
                </c:pt>
                <c:pt idx="9">
                  <c:v>983</c:v>
                </c:pt>
              </c:numCache>
            </c:numRef>
          </c:val>
        </c:ser>
        <c:gapWidth val="150"/>
        <c:overlap val="0"/>
        <c:axId val="39251143"/>
        <c:axId val="71800159"/>
      </c:barChart>
      <c:catAx>
        <c:axId val="3925114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年度</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800159"/>
        <c:crosses val="autoZero"/>
        <c:auto val="1"/>
        <c:lblAlgn val="ctr"/>
        <c:lblOffset val="100"/>
        <c:noMultiLvlLbl val="0"/>
      </c:catAx>
      <c:valAx>
        <c:axId val="7180015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コマ数</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25114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時間帯別平均価格カーブ（北海道、円/kWh）</a:t>
            </a:r>
          </a:p>
        </c:rich>
      </c:tx>
      <c:overlay val="0"/>
      <c:spPr>
        <a:noFill/>
        <a:ln w="0">
          <a:noFill/>
        </a:ln>
      </c:spPr>
    </c:title>
    <c:autoTitleDeleted val="0"/>
    <c:plotArea>
      <c:lineChart>
        <c:grouping val="standard"/>
        <c:varyColors val="0"/>
        <c:ser>
          <c:idx val="0"/>
          <c:order val="0"/>
          <c:tx>
            <c:strRef>
              <c:f>h2_ダックカーブ!B4</c:f>
              <c:strCache>
                <c:ptCount val="1"/>
                <c:pt idx="0">
                  <c:v>FY2016</c:v>
                </c:pt>
              </c:strCache>
            </c:strRef>
          </c:tx>
          <c:spPr>
            <a:solidFill>
              <a:srgbClr val="b7d3f6"/>
            </a:solidFill>
            <a:ln w="21960">
              <a:solidFill>
                <a:srgbClr val="b7d3f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h2_ダックカーブ!$A$5:$A$52</c:f>
              <c:strCache>
                <c:ptCount val="48"/>
                <c:pt idx="0">
                  <c:v>0.00</c:v>
                </c:pt>
                <c:pt idx="1">
                  <c:v>0.50</c:v>
                </c:pt>
                <c:pt idx="2">
                  <c:v>1.00</c:v>
                </c:pt>
                <c:pt idx="3">
                  <c:v>1.50</c:v>
                </c:pt>
                <c:pt idx="4">
                  <c:v>2.00</c:v>
                </c:pt>
                <c:pt idx="5">
                  <c:v>2.50</c:v>
                </c:pt>
                <c:pt idx="6">
                  <c:v>3.00</c:v>
                </c:pt>
                <c:pt idx="7">
                  <c:v>3.50</c:v>
                </c:pt>
                <c:pt idx="8">
                  <c:v>4.00</c:v>
                </c:pt>
                <c:pt idx="9">
                  <c:v>4.50</c:v>
                </c:pt>
                <c:pt idx="10">
                  <c:v>5.00</c:v>
                </c:pt>
                <c:pt idx="11">
                  <c:v>5.50</c:v>
                </c:pt>
                <c:pt idx="12">
                  <c:v>6.00</c:v>
                </c:pt>
                <c:pt idx="13">
                  <c:v>6.50</c:v>
                </c:pt>
                <c:pt idx="14">
                  <c:v>7.00</c:v>
                </c:pt>
                <c:pt idx="15">
                  <c:v>7.50</c:v>
                </c:pt>
                <c:pt idx="16">
                  <c:v>8.00</c:v>
                </c:pt>
                <c:pt idx="17">
                  <c:v>8.50</c:v>
                </c:pt>
                <c:pt idx="18">
                  <c:v>9.00</c:v>
                </c:pt>
                <c:pt idx="19">
                  <c:v>9.50</c:v>
                </c:pt>
                <c:pt idx="20">
                  <c:v>10.00</c:v>
                </c:pt>
                <c:pt idx="21">
                  <c:v>10.50</c:v>
                </c:pt>
                <c:pt idx="22">
                  <c:v>11.00</c:v>
                </c:pt>
                <c:pt idx="23">
                  <c:v>11.50</c:v>
                </c:pt>
                <c:pt idx="24">
                  <c:v>12.00</c:v>
                </c:pt>
                <c:pt idx="25">
                  <c:v>12.50</c:v>
                </c:pt>
                <c:pt idx="26">
                  <c:v>13.00</c:v>
                </c:pt>
                <c:pt idx="27">
                  <c:v>13.50</c:v>
                </c:pt>
                <c:pt idx="28">
                  <c:v>14.00</c:v>
                </c:pt>
                <c:pt idx="29">
                  <c:v>14.50</c:v>
                </c:pt>
                <c:pt idx="30">
                  <c:v>15.00</c:v>
                </c:pt>
                <c:pt idx="31">
                  <c:v>15.50</c:v>
                </c:pt>
                <c:pt idx="32">
                  <c:v>16.00</c:v>
                </c:pt>
                <c:pt idx="33">
                  <c:v>16.50</c:v>
                </c:pt>
                <c:pt idx="34">
                  <c:v>17.00</c:v>
                </c:pt>
                <c:pt idx="35">
                  <c:v>17.50</c:v>
                </c:pt>
                <c:pt idx="36">
                  <c:v>18.00</c:v>
                </c:pt>
                <c:pt idx="37">
                  <c:v>18.50</c:v>
                </c:pt>
                <c:pt idx="38">
                  <c:v>19.00</c:v>
                </c:pt>
                <c:pt idx="39">
                  <c:v>19.50</c:v>
                </c:pt>
                <c:pt idx="40">
                  <c:v>20.00</c:v>
                </c:pt>
                <c:pt idx="41">
                  <c:v>20.50</c:v>
                </c:pt>
                <c:pt idx="42">
                  <c:v>21.00</c:v>
                </c:pt>
                <c:pt idx="43">
                  <c:v>21.50</c:v>
                </c:pt>
                <c:pt idx="44">
                  <c:v>22.00</c:v>
                </c:pt>
                <c:pt idx="45">
                  <c:v>22.50</c:v>
                </c:pt>
                <c:pt idx="46">
                  <c:v>23.00</c:v>
                </c:pt>
                <c:pt idx="47">
                  <c:v>23.50</c:v>
                </c:pt>
              </c:strCache>
            </c:strRef>
          </c:cat>
          <c:val>
            <c:numRef>
              <c:f>h2_ダックカーブ!$B$5:$B$52</c:f>
              <c:numCache>
                <c:formatCode>0.00</c:formatCode>
                <c:ptCount val="48"/>
                <c:pt idx="0">
                  <c:v>8.64227397260274</c:v>
                </c:pt>
                <c:pt idx="1">
                  <c:v>8.32679452054795</c:v>
                </c:pt>
                <c:pt idx="2">
                  <c:v>8.1818904109589</c:v>
                </c:pt>
                <c:pt idx="3">
                  <c:v>8.09093150684932</c:v>
                </c:pt>
                <c:pt idx="4">
                  <c:v>8.04709589041096</c:v>
                </c:pt>
                <c:pt idx="5">
                  <c:v>8.02098630136986</c:v>
                </c:pt>
                <c:pt idx="6">
                  <c:v>7.99802739726028</c:v>
                </c:pt>
                <c:pt idx="7">
                  <c:v>7.98241095890411</c:v>
                </c:pt>
                <c:pt idx="8">
                  <c:v>7.98619178082192</c:v>
                </c:pt>
                <c:pt idx="9">
                  <c:v>8.02813698630137</c:v>
                </c:pt>
                <c:pt idx="10">
                  <c:v>8.11441095890411</c:v>
                </c:pt>
                <c:pt idx="11">
                  <c:v>8.23471232876712</c:v>
                </c:pt>
                <c:pt idx="12">
                  <c:v>8.75649315068493</c:v>
                </c:pt>
                <c:pt idx="13">
                  <c:v>9.42276712328767</c:v>
                </c:pt>
                <c:pt idx="14">
                  <c:v>10.2963561643836</c:v>
                </c:pt>
                <c:pt idx="15">
                  <c:v>10.5758082191781</c:v>
                </c:pt>
                <c:pt idx="16">
                  <c:v>11.1337260273973</c:v>
                </c:pt>
                <c:pt idx="17">
                  <c:v>12.4973698630137</c:v>
                </c:pt>
                <c:pt idx="18">
                  <c:v>13.4846301369863</c:v>
                </c:pt>
                <c:pt idx="19">
                  <c:v>13.5973424657534</c:v>
                </c:pt>
                <c:pt idx="20">
                  <c:v>13.7228219178082</c:v>
                </c:pt>
                <c:pt idx="21">
                  <c:v>13.7149315068493</c:v>
                </c:pt>
                <c:pt idx="22">
                  <c:v>13.9768493150685</c:v>
                </c:pt>
                <c:pt idx="23">
                  <c:v>13.8255068493151</c:v>
                </c:pt>
                <c:pt idx="24">
                  <c:v>12.2957534246575</c:v>
                </c:pt>
                <c:pt idx="25">
                  <c:v>12.4451506849315</c:v>
                </c:pt>
                <c:pt idx="26">
                  <c:v>14.0291506849315</c:v>
                </c:pt>
                <c:pt idx="27">
                  <c:v>14.7909589041096</c:v>
                </c:pt>
                <c:pt idx="28">
                  <c:v>15.3262465753425</c:v>
                </c:pt>
                <c:pt idx="29">
                  <c:v>16.4150410958904</c:v>
                </c:pt>
                <c:pt idx="30">
                  <c:v>15.9730136986301</c:v>
                </c:pt>
                <c:pt idx="31">
                  <c:v>17.469698630137</c:v>
                </c:pt>
                <c:pt idx="32">
                  <c:v>18.0093698630137</c:v>
                </c:pt>
                <c:pt idx="33">
                  <c:v>18.052602739726</c:v>
                </c:pt>
                <c:pt idx="34">
                  <c:v>16.7482191780822</c:v>
                </c:pt>
                <c:pt idx="35">
                  <c:v>16.0383287671233</c:v>
                </c:pt>
                <c:pt idx="36">
                  <c:v>15.5202191780822</c:v>
                </c:pt>
                <c:pt idx="37">
                  <c:v>15.1984383561644</c:v>
                </c:pt>
                <c:pt idx="38">
                  <c:v>14.3218630136986</c:v>
                </c:pt>
                <c:pt idx="39">
                  <c:v>13.4070684931507</c:v>
                </c:pt>
                <c:pt idx="40">
                  <c:v>12.7002465753425</c:v>
                </c:pt>
                <c:pt idx="41">
                  <c:v>11.8153150684932</c:v>
                </c:pt>
                <c:pt idx="42">
                  <c:v>11.0024383561644</c:v>
                </c:pt>
                <c:pt idx="43">
                  <c:v>10.1494794520548</c:v>
                </c:pt>
                <c:pt idx="44">
                  <c:v>10.7944383561644</c:v>
                </c:pt>
                <c:pt idx="45">
                  <c:v>9.98613698630137</c:v>
                </c:pt>
                <c:pt idx="46">
                  <c:v>9.25715068493151</c:v>
                </c:pt>
                <c:pt idx="47">
                  <c:v>8.75871232876712</c:v>
                </c:pt>
              </c:numCache>
            </c:numRef>
          </c:val>
          <c:smooth val="0"/>
        </c:ser>
        <c:ser>
          <c:idx val="1"/>
          <c:order val="1"/>
          <c:tx>
            <c:strRef>
              <c:f>h2_ダックカーブ!C4</c:f>
              <c:strCache>
                <c:ptCount val="1"/>
                <c:pt idx="0">
                  <c:v>FY2019</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h2_ダックカーブ!$A$5:$A$52</c:f>
              <c:strCache>
                <c:ptCount val="48"/>
                <c:pt idx="0">
                  <c:v>0.00</c:v>
                </c:pt>
                <c:pt idx="1">
                  <c:v>0.50</c:v>
                </c:pt>
                <c:pt idx="2">
                  <c:v>1.00</c:v>
                </c:pt>
                <c:pt idx="3">
                  <c:v>1.50</c:v>
                </c:pt>
                <c:pt idx="4">
                  <c:v>2.00</c:v>
                </c:pt>
                <c:pt idx="5">
                  <c:v>2.50</c:v>
                </c:pt>
                <c:pt idx="6">
                  <c:v>3.00</c:v>
                </c:pt>
                <c:pt idx="7">
                  <c:v>3.50</c:v>
                </c:pt>
                <c:pt idx="8">
                  <c:v>4.00</c:v>
                </c:pt>
                <c:pt idx="9">
                  <c:v>4.50</c:v>
                </c:pt>
                <c:pt idx="10">
                  <c:v>5.00</c:v>
                </c:pt>
                <c:pt idx="11">
                  <c:v>5.50</c:v>
                </c:pt>
                <c:pt idx="12">
                  <c:v>6.00</c:v>
                </c:pt>
                <c:pt idx="13">
                  <c:v>6.50</c:v>
                </c:pt>
                <c:pt idx="14">
                  <c:v>7.00</c:v>
                </c:pt>
                <c:pt idx="15">
                  <c:v>7.50</c:v>
                </c:pt>
                <c:pt idx="16">
                  <c:v>8.00</c:v>
                </c:pt>
                <c:pt idx="17">
                  <c:v>8.50</c:v>
                </c:pt>
                <c:pt idx="18">
                  <c:v>9.00</c:v>
                </c:pt>
                <c:pt idx="19">
                  <c:v>9.50</c:v>
                </c:pt>
                <c:pt idx="20">
                  <c:v>10.00</c:v>
                </c:pt>
                <c:pt idx="21">
                  <c:v>10.50</c:v>
                </c:pt>
                <c:pt idx="22">
                  <c:v>11.00</c:v>
                </c:pt>
                <c:pt idx="23">
                  <c:v>11.50</c:v>
                </c:pt>
                <c:pt idx="24">
                  <c:v>12.00</c:v>
                </c:pt>
                <c:pt idx="25">
                  <c:v>12.50</c:v>
                </c:pt>
                <c:pt idx="26">
                  <c:v>13.00</c:v>
                </c:pt>
                <c:pt idx="27">
                  <c:v>13.50</c:v>
                </c:pt>
                <c:pt idx="28">
                  <c:v>14.00</c:v>
                </c:pt>
                <c:pt idx="29">
                  <c:v>14.50</c:v>
                </c:pt>
                <c:pt idx="30">
                  <c:v>15.00</c:v>
                </c:pt>
                <c:pt idx="31">
                  <c:v>15.50</c:v>
                </c:pt>
                <c:pt idx="32">
                  <c:v>16.00</c:v>
                </c:pt>
                <c:pt idx="33">
                  <c:v>16.50</c:v>
                </c:pt>
                <c:pt idx="34">
                  <c:v>17.00</c:v>
                </c:pt>
                <c:pt idx="35">
                  <c:v>17.50</c:v>
                </c:pt>
                <c:pt idx="36">
                  <c:v>18.00</c:v>
                </c:pt>
                <c:pt idx="37">
                  <c:v>18.50</c:v>
                </c:pt>
                <c:pt idx="38">
                  <c:v>19.00</c:v>
                </c:pt>
                <c:pt idx="39">
                  <c:v>19.50</c:v>
                </c:pt>
                <c:pt idx="40">
                  <c:v>20.00</c:v>
                </c:pt>
                <c:pt idx="41">
                  <c:v>20.50</c:v>
                </c:pt>
                <c:pt idx="42">
                  <c:v>21.00</c:v>
                </c:pt>
                <c:pt idx="43">
                  <c:v>21.50</c:v>
                </c:pt>
                <c:pt idx="44">
                  <c:v>22.00</c:v>
                </c:pt>
                <c:pt idx="45">
                  <c:v>22.50</c:v>
                </c:pt>
                <c:pt idx="46">
                  <c:v>23.00</c:v>
                </c:pt>
                <c:pt idx="47">
                  <c:v>23.50</c:v>
                </c:pt>
              </c:strCache>
            </c:strRef>
          </c:cat>
          <c:val>
            <c:numRef>
              <c:f>h2_ダックカーブ!$C$5:$C$52</c:f>
              <c:numCache>
                <c:formatCode>0.00</c:formatCode>
                <c:ptCount val="48"/>
                <c:pt idx="0">
                  <c:v>9.0757650273224</c:v>
                </c:pt>
                <c:pt idx="1">
                  <c:v>8.58267759562842</c:v>
                </c:pt>
                <c:pt idx="2">
                  <c:v>8.25357923497268</c:v>
                </c:pt>
                <c:pt idx="3">
                  <c:v>8.04254098360656</c:v>
                </c:pt>
                <c:pt idx="4">
                  <c:v>7.97808743169399</c:v>
                </c:pt>
                <c:pt idx="5">
                  <c:v>7.88997267759563</c:v>
                </c:pt>
                <c:pt idx="6">
                  <c:v>7.98975409836066</c:v>
                </c:pt>
                <c:pt idx="7">
                  <c:v>7.98382513661202</c:v>
                </c:pt>
                <c:pt idx="8">
                  <c:v>8.02494535519126</c:v>
                </c:pt>
                <c:pt idx="9">
                  <c:v>8.09896174863388</c:v>
                </c:pt>
                <c:pt idx="10">
                  <c:v>8.26024590163934</c:v>
                </c:pt>
                <c:pt idx="11">
                  <c:v>8.54467213114754</c:v>
                </c:pt>
                <c:pt idx="12">
                  <c:v>8.76803278688525</c:v>
                </c:pt>
                <c:pt idx="13">
                  <c:v>9.32907103825137</c:v>
                </c:pt>
                <c:pt idx="14">
                  <c:v>9.69215846994536</c:v>
                </c:pt>
                <c:pt idx="15">
                  <c:v>9.70453551912568</c:v>
                </c:pt>
                <c:pt idx="16">
                  <c:v>9.98360655737705</c:v>
                </c:pt>
                <c:pt idx="17">
                  <c:v>10.5133879781421</c:v>
                </c:pt>
                <c:pt idx="18">
                  <c:v>11.0945081967213</c:v>
                </c:pt>
                <c:pt idx="19">
                  <c:v>10.7960382513661</c:v>
                </c:pt>
                <c:pt idx="20">
                  <c:v>10.3332513661202</c:v>
                </c:pt>
                <c:pt idx="21">
                  <c:v>10.3607923497268</c:v>
                </c:pt>
                <c:pt idx="22">
                  <c:v>10.258825136612</c:v>
                </c:pt>
                <c:pt idx="23">
                  <c:v>10.1022677595628</c:v>
                </c:pt>
                <c:pt idx="24">
                  <c:v>9.14106557377049</c:v>
                </c:pt>
                <c:pt idx="25">
                  <c:v>9.17866120218579</c:v>
                </c:pt>
                <c:pt idx="26">
                  <c:v>10.1328415300546</c:v>
                </c:pt>
                <c:pt idx="27">
                  <c:v>10.6743715846995</c:v>
                </c:pt>
                <c:pt idx="28">
                  <c:v>11.3102732240437</c:v>
                </c:pt>
                <c:pt idx="29">
                  <c:v>12.0911475409836</c:v>
                </c:pt>
                <c:pt idx="30">
                  <c:v>12.7655464480874</c:v>
                </c:pt>
                <c:pt idx="31">
                  <c:v>13.8296721311475</c:v>
                </c:pt>
                <c:pt idx="32">
                  <c:v>14.9858743169399</c:v>
                </c:pt>
                <c:pt idx="33">
                  <c:v>15.7549180327869</c:v>
                </c:pt>
                <c:pt idx="34">
                  <c:v>15.1003278688525</c:v>
                </c:pt>
                <c:pt idx="35">
                  <c:v>15.112131147541</c:v>
                </c:pt>
                <c:pt idx="36">
                  <c:v>15.4103551912568</c:v>
                </c:pt>
                <c:pt idx="37">
                  <c:v>15.1155464480874</c:v>
                </c:pt>
                <c:pt idx="38">
                  <c:v>14.2814207650273</c:v>
                </c:pt>
                <c:pt idx="39">
                  <c:v>13.3922404371585</c:v>
                </c:pt>
                <c:pt idx="40">
                  <c:v>12.8627868852459</c:v>
                </c:pt>
                <c:pt idx="41">
                  <c:v>12.1724590163934</c:v>
                </c:pt>
                <c:pt idx="42">
                  <c:v>11.334781420765</c:v>
                </c:pt>
                <c:pt idx="43">
                  <c:v>10.802650273224</c:v>
                </c:pt>
                <c:pt idx="44">
                  <c:v>10.6865573770492</c:v>
                </c:pt>
                <c:pt idx="45">
                  <c:v>10.4025956284153</c:v>
                </c:pt>
                <c:pt idx="46">
                  <c:v>9.75773224043716</c:v>
                </c:pt>
                <c:pt idx="47">
                  <c:v>9.53871584699454</c:v>
                </c:pt>
              </c:numCache>
            </c:numRef>
          </c:val>
          <c:smooth val="0"/>
        </c:ser>
        <c:ser>
          <c:idx val="2"/>
          <c:order val="2"/>
          <c:tx>
            <c:strRef>
              <c:f>h2_ダックカーブ!D4</c:f>
              <c:strCache>
                <c:ptCount val="1"/>
                <c:pt idx="0">
                  <c:v>FY2023</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h2_ダックカーブ!$A$5:$A$52</c:f>
              <c:strCache>
                <c:ptCount val="48"/>
                <c:pt idx="0">
                  <c:v>0.00</c:v>
                </c:pt>
                <c:pt idx="1">
                  <c:v>0.50</c:v>
                </c:pt>
                <c:pt idx="2">
                  <c:v>1.00</c:v>
                </c:pt>
                <c:pt idx="3">
                  <c:v>1.50</c:v>
                </c:pt>
                <c:pt idx="4">
                  <c:v>2.00</c:v>
                </c:pt>
                <c:pt idx="5">
                  <c:v>2.50</c:v>
                </c:pt>
                <c:pt idx="6">
                  <c:v>3.00</c:v>
                </c:pt>
                <c:pt idx="7">
                  <c:v>3.50</c:v>
                </c:pt>
                <c:pt idx="8">
                  <c:v>4.00</c:v>
                </c:pt>
                <c:pt idx="9">
                  <c:v>4.50</c:v>
                </c:pt>
                <c:pt idx="10">
                  <c:v>5.00</c:v>
                </c:pt>
                <c:pt idx="11">
                  <c:v>5.50</c:v>
                </c:pt>
                <c:pt idx="12">
                  <c:v>6.00</c:v>
                </c:pt>
                <c:pt idx="13">
                  <c:v>6.50</c:v>
                </c:pt>
                <c:pt idx="14">
                  <c:v>7.00</c:v>
                </c:pt>
                <c:pt idx="15">
                  <c:v>7.50</c:v>
                </c:pt>
                <c:pt idx="16">
                  <c:v>8.00</c:v>
                </c:pt>
                <c:pt idx="17">
                  <c:v>8.50</c:v>
                </c:pt>
                <c:pt idx="18">
                  <c:v>9.00</c:v>
                </c:pt>
                <c:pt idx="19">
                  <c:v>9.50</c:v>
                </c:pt>
                <c:pt idx="20">
                  <c:v>10.00</c:v>
                </c:pt>
                <c:pt idx="21">
                  <c:v>10.50</c:v>
                </c:pt>
                <c:pt idx="22">
                  <c:v>11.00</c:v>
                </c:pt>
                <c:pt idx="23">
                  <c:v>11.50</c:v>
                </c:pt>
                <c:pt idx="24">
                  <c:v>12.00</c:v>
                </c:pt>
                <c:pt idx="25">
                  <c:v>12.50</c:v>
                </c:pt>
                <c:pt idx="26">
                  <c:v>13.00</c:v>
                </c:pt>
                <c:pt idx="27">
                  <c:v>13.50</c:v>
                </c:pt>
                <c:pt idx="28">
                  <c:v>14.00</c:v>
                </c:pt>
                <c:pt idx="29">
                  <c:v>14.50</c:v>
                </c:pt>
                <c:pt idx="30">
                  <c:v>15.00</c:v>
                </c:pt>
                <c:pt idx="31">
                  <c:v>15.50</c:v>
                </c:pt>
                <c:pt idx="32">
                  <c:v>16.00</c:v>
                </c:pt>
                <c:pt idx="33">
                  <c:v>16.50</c:v>
                </c:pt>
                <c:pt idx="34">
                  <c:v>17.00</c:v>
                </c:pt>
                <c:pt idx="35">
                  <c:v>17.50</c:v>
                </c:pt>
                <c:pt idx="36">
                  <c:v>18.00</c:v>
                </c:pt>
                <c:pt idx="37">
                  <c:v>18.50</c:v>
                </c:pt>
                <c:pt idx="38">
                  <c:v>19.00</c:v>
                </c:pt>
                <c:pt idx="39">
                  <c:v>19.50</c:v>
                </c:pt>
                <c:pt idx="40">
                  <c:v>20.00</c:v>
                </c:pt>
                <c:pt idx="41">
                  <c:v>20.50</c:v>
                </c:pt>
                <c:pt idx="42">
                  <c:v>21.00</c:v>
                </c:pt>
                <c:pt idx="43">
                  <c:v>21.50</c:v>
                </c:pt>
                <c:pt idx="44">
                  <c:v>22.00</c:v>
                </c:pt>
                <c:pt idx="45">
                  <c:v>22.50</c:v>
                </c:pt>
                <c:pt idx="46">
                  <c:v>23.00</c:v>
                </c:pt>
                <c:pt idx="47">
                  <c:v>23.50</c:v>
                </c:pt>
              </c:strCache>
            </c:strRef>
          </c:cat>
          <c:val>
            <c:numRef>
              <c:f>h2_ダックカーブ!$D$5:$D$52</c:f>
              <c:numCache>
                <c:formatCode>0.00</c:formatCode>
                <c:ptCount val="48"/>
                <c:pt idx="0">
                  <c:v>12.3151092896175</c:v>
                </c:pt>
                <c:pt idx="1">
                  <c:v>11.6987158469945</c:v>
                </c:pt>
                <c:pt idx="2">
                  <c:v>11.4940163934426</c:v>
                </c:pt>
                <c:pt idx="3">
                  <c:v>11.4299726775956</c:v>
                </c:pt>
                <c:pt idx="4">
                  <c:v>11.4747540983607</c:v>
                </c:pt>
                <c:pt idx="5">
                  <c:v>11.5090983606557</c:v>
                </c:pt>
                <c:pt idx="6">
                  <c:v>11.5953278688525</c:v>
                </c:pt>
                <c:pt idx="7">
                  <c:v>11.6359016393443</c:v>
                </c:pt>
                <c:pt idx="8">
                  <c:v>11.7247267759563</c:v>
                </c:pt>
                <c:pt idx="9">
                  <c:v>11.7810928961749</c:v>
                </c:pt>
                <c:pt idx="10">
                  <c:v>11.9037431693989</c:v>
                </c:pt>
                <c:pt idx="11">
                  <c:v>11.8362295081967</c:v>
                </c:pt>
                <c:pt idx="12">
                  <c:v>11.7369398907104</c:v>
                </c:pt>
                <c:pt idx="13">
                  <c:v>11.5515846994536</c:v>
                </c:pt>
                <c:pt idx="14">
                  <c:v>10.8559836065574</c:v>
                </c:pt>
                <c:pt idx="15">
                  <c:v>10.0753551912568</c:v>
                </c:pt>
                <c:pt idx="16">
                  <c:v>9.90169398907104</c:v>
                </c:pt>
                <c:pt idx="17">
                  <c:v>9.7192349726776</c:v>
                </c:pt>
                <c:pt idx="18">
                  <c:v>9.32734972677596</c:v>
                </c:pt>
                <c:pt idx="19">
                  <c:v>8.59172131147541</c:v>
                </c:pt>
                <c:pt idx="20">
                  <c:v>7.86428961748634</c:v>
                </c:pt>
                <c:pt idx="21">
                  <c:v>7.48469945355191</c:v>
                </c:pt>
                <c:pt idx="22">
                  <c:v>7.2848087431694</c:v>
                </c:pt>
                <c:pt idx="23">
                  <c:v>7.17912568306011</c:v>
                </c:pt>
                <c:pt idx="24">
                  <c:v>6.19322404371585</c:v>
                </c:pt>
                <c:pt idx="25">
                  <c:v>6.47748633879782</c:v>
                </c:pt>
                <c:pt idx="26">
                  <c:v>7.83915300546448</c:v>
                </c:pt>
                <c:pt idx="27">
                  <c:v>8.7624043715847</c:v>
                </c:pt>
                <c:pt idx="28">
                  <c:v>9.39475409836066</c:v>
                </c:pt>
                <c:pt idx="29">
                  <c:v>10.5669672131148</c:v>
                </c:pt>
                <c:pt idx="30">
                  <c:v>11.5353551912568</c:v>
                </c:pt>
                <c:pt idx="31">
                  <c:v>12.7603278688525</c:v>
                </c:pt>
                <c:pt idx="32">
                  <c:v>13.7803005464481</c:v>
                </c:pt>
                <c:pt idx="33">
                  <c:v>14.9021584699454</c:v>
                </c:pt>
                <c:pt idx="34">
                  <c:v>15.1453825136612</c:v>
                </c:pt>
                <c:pt idx="35">
                  <c:v>15.5423770491803</c:v>
                </c:pt>
                <c:pt idx="36">
                  <c:v>15.5031147540984</c:v>
                </c:pt>
                <c:pt idx="37">
                  <c:v>15.5210655737705</c:v>
                </c:pt>
                <c:pt idx="38">
                  <c:v>15.144781420765</c:v>
                </c:pt>
                <c:pt idx="39">
                  <c:v>14.7225683060109</c:v>
                </c:pt>
                <c:pt idx="40">
                  <c:v>14.426912568306</c:v>
                </c:pt>
                <c:pt idx="41">
                  <c:v>13.9881967213115</c:v>
                </c:pt>
                <c:pt idx="42">
                  <c:v>13.5642896174863</c:v>
                </c:pt>
                <c:pt idx="43">
                  <c:v>12.9951092896175</c:v>
                </c:pt>
                <c:pt idx="44">
                  <c:v>12.6595901639344</c:v>
                </c:pt>
                <c:pt idx="45">
                  <c:v>12.312349726776</c:v>
                </c:pt>
                <c:pt idx="46">
                  <c:v>12.1334699453552</c:v>
                </c:pt>
                <c:pt idx="47">
                  <c:v>11.5120218579235</c:v>
                </c:pt>
              </c:numCache>
            </c:numRef>
          </c:val>
          <c:smooth val="0"/>
        </c:ser>
        <c:ser>
          <c:idx val="3"/>
          <c:order val="3"/>
          <c:tx>
            <c:strRef>
              <c:f>h2_ダックカーブ!E4</c:f>
              <c:strCache>
                <c:ptCount val="1"/>
                <c:pt idx="0">
                  <c:v>FY2025</c:v>
                </c:pt>
              </c:strCache>
            </c:strRef>
          </c:tx>
          <c:spPr>
            <a:solidFill>
              <a:srgbClr val="184f95"/>
            </a:solidFill>
            <a:ln w="21960">
              <a:solidFill>
                <a:srgbClr val="184f9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h2_ダックカーブ!$A$5:$A$52</c:f>
              <c:strCache>
                <c:ptCount val="48"/>
                <c:pt idx="0">
                  <c:v>0.00</c:v>
                </c:pt>
                <c:pt idx="1">
                  <c:v>0.50</c:v>
                </c:pt>
                <c:pt idx="2">
                  <c:v>1.00</c:v>
                </c:pt>
                <c:pt idx="3">
                  <c:v>1.50</c:v>
                </c:pt>
                <c:pt idx="4">
                  <c:v>2.00</c:v>
                </c:pt>
                <c:pt idx="5">
                  <c:v>2.50</c:v>
                </c:pt>
                <c:pt idx="6">
                  <c:v>3.00</c:v>
                </c:pt>
                <c:pt idx="7">
                  <c:v>3.50</c:v>
                </c:pt>
                <c:pt idx="8">
                  <c:v>4.00</c:v>
                </c:pt>
                <c:pt idx="9">
                  <c:v>4.50</c:v>
                </c:pt>
                <c:pt idx="10">
                  <c:v>5.00</c:v>
                </c:pt>
                <c:pt idx="11">
                  <c:v>5.50</c:v>
                </c:pt>
                <c:pt idx="12">
                  <c:v>6.00</c:v>
                </c:pt>
                <c:pt idx="13">
                  <c:v>6.50</c:v>
                </c:pt>
                <c:pt idx="14">
                  <c:v>7.00</c:v>
                </c:pt>
                <c:pt idx="15">
                  <c:v>7.50</c:v>
                </c:pt>
                <c:pt idx="16">
                  <c:v>8.00</c:v>
                </c:pt>
                <c:pt idx="17">
                  <c:v>8.50</c:v>
                </c:pt>
                <c:pt idx="18">
                  <c:v>9.00</c:v>
                </c:pt>
                <c:pt idx="19">
                  <c:v>9.50</c:v>
                </c:pt>
                <c:pt idx="20">
                  <c:v>10.00</c:v>
                </c:pt>
                <c:pt idx="21">
                  <c:v>10.50</c:v>
                </c:pt>
                <c:pt idx="22">
                  <c:v>11.00</c:v>
                </c:pt>
                <c:pt idx="23">
                  <c:v>11.50</c:v>
                </c:pt>
                <c:pt idx="24">
                  <c:v>12.00</c:v>
                </c:pt>
                <c:pt idx="25">
                  <c:v>12.50</c:v>
                </c:pt>
                <c:pt idx="26">
                  <c:v>13.00</c:v>
                </c:pt>
                <c:pt idx="27">
                  <c:v>13.50</c:v>
                </c:pt>
                <c:pt idx="28">
                  <c:v>14.00</c:v>
                </c:pt>
                <c:pt idx="29">
                  <c:v>14.50</c:v>
                </c:pt>
                <c:pt idx="30">
                  <c:v>15.00</c:v>
                </c:pt>
                <c:pt idx="31">
                  <c:v>15.50</c:v>
                </c:pt>
                <c:pt idx="32">
                  <c:v>16.00</c:v>
                </c:pt>
                <c:pt idx="33">
                  <c:v>16.50</c:v>
                </c:pt>
                <c:pt idx="34">
                  <c:v>17.00</c:v>
                </c:pt>
                <c:pt idx="35">
                  <c:v>17.50</c:v>
                </c:pt>
                <c:pt idx="36">
                  <c:v>18.00</c:v>
                </c:pt>
                <c:pt idx="37">
                  <c:v>18.50</c:v>
                </c:pt>
                <c:pt idx="38">
                  <c:v>19.00</c:v>
                </c:pt>
                <c:pt idx="39">
                  <c:v>19.50</c:v>
                </c:pt>
                <c:pt idx="40">
                  <c:v>20.00</c:v>
                </c:pt>
                <c:pt idx="41">
                  <c:v>20.50</c:v>
                </c:pt>
                <c:pt idx="42">
                  <c:v>21.00</c:v>
                </c:pt>
                <c:pt idx="43">
                  <c:v>21.50</c:v>
                </c:pt>
                <c:pt idx="44">
                  <c:v>22.00</c:v>
                </c:pt>
                <c:pt idx="45">
                  <c:v>22.50</c:v>
                </c:pt>
                <c:pt idx="46">
                  <c:v>23.00</c:v>
                </c:pt>
                <c:pt idx="47">
                  <c:v>23.50</c:v>
                </c:pt>
              </c:strCache>
            </c:strRef>
          </c:cat>
          <c:val>
            <c:numRef>
              <c:f>h2_ダックカーブ!$E$5:$E$52</c:f>
              <c:numCache>
                <c:formatCode>0.00</c:formatCode>
                <c:ptCount val="48"/>
                <c:pt idx="0">
                  <c:v>11.7345479452055</c:v>
                </c:pt>
                <c:pt idx="1">
                  <c:v>10.9538630136986</c:v>
                </c:pt>
                <c:pt idx="2">
                  <c:v>10.9441369863014</c:v>
                </c:pt>
                <c:pt idx="3">
                  <c:v>10.8517808219178</c:v>
                </c:pt>
                <c:pt idx="4">
                  <c:v>10.9896712328767</c:v>
                </c:pt>
                <c:pt idx="5">
                  <c:v>11.3225479452055</c:v>
                </c:pt>
                <c:pt idx="6">
                  <c:v>11.4750684931507</c:v>
                </c:pt>
                <c:pt idx="7">
                  <c:v>11.632602739726</c:v>
                </c:pt>
                <c:pt idx="8">
                  <c:v>11.7778356164384</c:v>
                </c:pt>
                <c:pt idx="9">
                  <c:v>11.804794520548</c:v>
                </c:pt>
                <c:pt idx="10">
                  <c:v>11.828301369863</c:v>
                </c:pt>
                <c:pt idx="11">
                  <c:v>11.465095890411</c:v>
                </c:pt>
                <c:pt idx="12">
                  <c:v>11.7490684931507</c:v>
                </c:pt>
                <c:pt idx="13">
                  <c:v>11.4324383561644</c:v>
                </c:pt>
                <c:pt idx="14">
                  <c:v>10.4939452054795</c:v>
                </c:pt>
                <c:pt idx="15">
                  <c:v>9.98715068493151</c:v>
                </c:pt>
                <c:pt idx="16">
                  <c:v>9.84290410958904</c:v>
                </c:pt>
                <c:pt idx="17">
                  <c:v>9.75846575342466</c:v>
                </c:pt>
                <c:pt idx="18">
                  <c:v>9.31761643835617</c:v>
                </c:pt>
                <c:pt idx="19">
                  <c:v>8.72819178082192</c:v>
                </c:pt>
                <c:pt idx="20">
                  <c:v>7.88846575342466</c:v>
                </c:pt>
                <c:pt idx="21">
                  <c:v>7.55950684931507</c:v>
                </c:pt>
                <c:pt idx="22">
                  <c:v>7.76731506849315</c:v>
                </c:pt>
                <c:pt idx="23">
                  <c:v>7.5481095890411</c:v>
                </c:pt>
                <c:pt idx="24">
                  <c:v>6.76901369863014</c:v>
                </c:pt>
                <c:pt idx="25">
                  <c:v>6.9458904109589</c:v>
                </c:pt>
                <c:pt idx="26">
                  <c:v>8.25317808219178</c:v>
                </c:pt>
                <c:pt idx="27">
                  <c:v>9.13024657534247</c:v>
                </c:pt>
                <c:pt idx="28">
                  <c:v>9.58279452054794</c:v>
                </c:pt>
                <c:pt idx="29">
                  <c:v>10.3274520547945</c:v>
                </c:pt>
                <c:pt idx="30">
                  <c:v>11.2293150684932</c:v>
                </c:pt>
                <c:pt idx="31">
                  <c:v>13.3361917808219</c:v>
                </c:pt>
                <c:pt idx="32">
                  <c:v>14.6784657534247</c:v>
                </c:pt>
                <c:pt idx="33">
                  <c:v>16.5627123287671</c:v>
                </c:pt>
                <c:pt idx="34">
                  <c:v>16.4627123287671</c:v>
                </c:pt>
                <c:pt idx="35">
                  <c:v>17.0397808219178</c:v>
                </c:pt>
                <c:pt idx="36">
                  <c:v>17.1644931506849</c:v>
                </c:pt>
                <c:pt idx="37">
                  <c:v>17.0268219178082</c:v>
                </c:pt>
                <c:pt idx="38">
                  <c:v>16.582904109589</c:v>
                </c:pt>
                <c:pt idx="39">
                  <c:v>15.8610684931507</c:v>
                </c:pt>
                <c:pt idx="40">
                  <c:v>15.4099452054795</c:v>
                </c:pt>
                <c:pt idx="41">
                  <c:v>14.7148767123288</c:v>
                </c:pt>
                <c:pt idx="42">
                  <c:v>13.975095890411</c:v>
                </c:pt>
                <c:pt idx="43">
                  <c:v>12.9835342465753</c:v>
                </c:pt>
                <c:pt idx="44">
                  <c:v>12.9303287671233</c:v>
                </c:pt>
                <c:pt idx="45">
                  <c:v>12.1004657534247</c:v>
                </c:pt>
                <c:pt idx="46">
                  <c:v>12.3880273972603</c:v>
                </c:pt>
                <c:pt idx="47">
                  <c:v>11.4512602739726</c:v>
                </c:pt>
              </c:numCache>
            </c:numRef>
          </c:val>
          <c:smooth val="0"/>
        </c:ser>
        <c:hiLowLines>
          <c:spPr>
            <a:ln w="0">
              <a:noFill/>
            </a:ln>
          </c:spPr>
        </c:hiLowLines>
        <c:marker val="0"/>
        <c:axId val="51958066"/>
        <c:axId val="48522555"/>
      </c:lineChart>
      <c:catAx>
        <c:axId val="5195806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時刻</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522555"/>
        <c:crosses val="autoZero"/>
        <c:auto val="1"/>
        <c:lblAlgn val="ctr"/>
        <c:lblOffset val="100"/>
        <c:noMultiLvlLbl val="0"/>
      </c:catAx>
      <c:valAx>
        <c:axId val="4852255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円/kWh</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95806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年間裁定粗利（円/kW-年）</a:t>
            </a:r>
          </a:p>
        </c:rich>
      </c:tx>
      <c:overlay val="0"/>
      <c:spPr>
        <a:noFill/>
        <a:ln w="0">
          <a:noFill/>
        </a:ln>
      </c:spPr>
    </c:title>
    <c:autoTitleDeleted val="0"/>
    <c:plotArea>
      <c:lineChart>
        <c:grouping val="standard"/>
        <c:varyColors val="0"/>
        <c:ser>
          <c:idx val="0"/>
          <c:order val="0"/>
          <c:tx>
            <c:strRef>
              <c:f>h3_バックテスト!B4</c:f>
              <c:strCache>
                <c:ptCount val="1"/>
                <c:pt idx="0">
                  <c:v>北海道 完全予見（円/kW-年）</c:v>
                </c:pt>
              </c:strCache>
            </c:strRef>
          </c:tx>
          <c:spPr>
            <a:solidFill>
              <a:srgbClr val="184f95"/>
            </a:solidFill>
            <a:ln w="21960">
              <a:solidFill>
                <a:srgbClr val="184f95"/>
              </a:solidFill>
              <a:round/>
            </a:ln>
          </c:spPr>
          <c:marker>
            <c:symbol val="circle"/>
            <c:size val="5"/>
            <c:spPr>
              <a:solidFill>
                <a:srgbClr val="184f95"/>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h3_バックテスト!$A$5:$A$14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h3_バックテスト!$B$5:$B$14</c:f>
              <c:numCache>
                <c:formatCode>#,##0</c:formatCode>
                <c:ptCount val="10"/>
                <c:pt idx="0">
                  <c:v>10856.019</c:v>
                </c:pt>
                <c:pt idx="1">
                  <c:v>6356.454</c:v>
                </c:pt>
                <c:pt idx="2">
                  <c:v>10302.0915</c:v>
                </c:pt>
                <c:pt idx="3">
                  <c:v>8899.1025</c:v>
                </c:pt>
                <c:pt idx="4">
                  <c:v>15853.9855</c:v>
                </c:pt>
                <c:pt idx="5">
                  <c:v>13530.5155</c:v>
                </c:pt>
                <c:pt idx="6">
                  <c:v>25159.57</c:v>
                </c:pt>
                <c:pt idx="7">
                  <c:v>9873.465</c:v>
                </c:pt>
                <c:pt idx="8">
                  <c:v>9586.42875</c:v>
                </c:pt>
                <c:pt idx="9">
                  <c:v>11492.5245</c:v>
                </c:pt>
              </c:numCache>
            </c:numRef>
          </c:val>
          <c:smooth val="0"/>
        </c:ser>
        <c:ser>
          <c:idx val="1"/>
          <c:order val="1"/>
          <c:tx>
            <c:strRef>
              <c:f>h3_バックテスト!C4</c:f>
              <c:strCache>
                <c:ptCount val="1"/>
                <c:pt idx="0">
                  <c:v>北海道 a.前日価格（円/kW-年）</c:v>
                </c:pt>
              </c:strCache>
            </c:strRef>
          </c:tx>
          <c:spPr>
            <a:solidFill>
              <a:srgbClr val="6da7ec"/>
            </a:solidFill>
            <a:ln w="21960">
              <a:solidFill>
                <a:srgbClr val="6da7ec"/>
              </a:solidFill>
              <a:round/>
            </a:ln>
          </c:spPr>
          <c:marker>
            <c:symbol val="circle"/>
            <c:size val="5"/>
            <c:spPr>
              <a:solidFill>
                <a:srgbClr val="6da7ec"/>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h3_バックテスト!$A$5:$A$14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h3_バックテスト!$C$5:$C$14</c:f>
              <c:numCache>
                <c:formatCode>#,##0</c:formatCode>
                <c:ptCount val="10"/>
                <c:pt idx="0">
                  <c:v>7729.0935</c:v>
                </c:pt>
                <c:pt idx="1">
                  <c:v>4592.39725</c:v>
                </c:pt>
                <c:pt idx="2">
                  <c:v>6818.0205</c:v>
                </c:pt>
                <c:pt idx="3">
                  <c:v>5893.0215</c:v>
                </c:pt>
                <c:pt idx="4">
                  <c:v>11755.74925</c:v>
                </c:pt>
                <c:pt idx="5">
                  <c:v>8879.3725</c:v>
                </c:pt>
                <c:pt idx="6">
                  <c:v>18730.388</c:v>
                </c:pt>
                <c:pt idx="7">
                  <c:v>6734.827</c:v>
                </c:pt>
                <c:pt idx="8">
                  <c:v>6520.3355</c:v>
                </c:pt>
                <c:pt idx="9">
                  <c:v>7968.0805</c:v>
                </c:pt>
              </c:numCache>
            </c:numRef>
          </c:val>
          <c:smooth val="0"/>
        </c:ser>
        <c:ser>
          <c:idx val="2"/>
          <c:order val="2"/>
          <c:tx>
            <c:strRef>
              <c:f>h3_バックテスト!D4</c:f>
              <c:strCache>
                <c:ptCount val="1"/>
                <c:pt idx="0">
                  <c:v>（参考）九州 完全予見</c:v>
                </c:pt>
              </c:strCache>
            </c:strRef>
          </c:tx>
          <c:spPr>
            <a:solidFill>
              <a:srgbClr val="ec835a"/>
            </a:solidFill>
            <a:ln w="21960">
              <a:solidFill>
                <a:srgbClr val="ec835a"/>
              </a:solidFill>
              <a:prstDash val="dash"/>
              <a:round/>
            </a:ln>
          </c:spPr>
          <c:marker>
            <c:symbol val="circle"/>
            <c:size val="5"/>
            <c:spPr>
              <a:solidFill>
                <a:srgbClr val="ec835a"/>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h3_バックテスト!$A$5:$A$14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h3_バックテスト!$D$5:$D$14</c:f>
              <c:numCache>
                <c:formatCode>#,##0</c:formatCode>
                <c:ptCount val="10"/>
                <c:pt idx="0">
                  <c:v>5823.13875</c:v>
                </c:pt>
                <c:pt idx="1">
                  <c:v>7982.02725</c:v>
                </c:pt>
                <c:pt idx="2">
                  <c:v>5490.88475</c:v>
                </c:pt>
                <c:pt idx="3">
                  <c:v>5944.75575</c:v>
                </c:pt>
                <c:pt idx="4">
                  <c:v>16070.8805</c:v>
                </c:pt>
                <c:pt idx="5">
                  <c:v>16040.39325</c:v>
                </c:pt>
                <c:pt idx="6">
                  <c:v>24367.18225</c:v>
                </c:pt>
                <c:pt idx="7">
                  <c:v>12521.427</c:v>
                </c:pt>
                <c:pt idx="8">
                  <c:v>12401.45525</c:v>
                </c:pt>
                <c:pt idx="9">
                  <c:v>10366.1825</c:v>
                </c:pt>
              </c:numCache>
            </c:numRef>
          </c:val>
          <c:smooth val="0"/>
        </c:ser>
        <c:hiLowLines>
          <c:spPr>
            <a:ln w="0">
              <a:noFill/>
            </a:ln>
          </c:spPr>
        </c:hiLowLines>
        <c:marker val="1"/>
        <c:axId val="63038492"/>
        <c:axId val="62549082"/>
      </c:lineChart>
      <c:catAx>
        <c:axId val="6303849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年度</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549082"/>
        <c:crosses val="autoZero"/>
        <c:auto val="1"/>
        <c:lblAlgn val="ctr"/>
        <c:lblOffset val="100"/>
        <c:noMultiLvlLbl val="0"/>
      </c:catAx>
      <c:valAx>
        <c:axId val="6254908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円/kW-年</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03849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TB4hスプレッド（中央値と四分位、円/kWh）</a:t>
            </a:r>
          </a:p>
        </c:rich>
      </c:tx>
      <c:overlay val="0"/>
      <c:spPr>
        <a:noFill/>
        <a:ln w="0">
          <a:noFill/>
        </a:ln>
      </c:spPr>
    </c:title>
    <c:autoTitleDeleted val="0"/>
    <c:plotArea>
      <c:lineChart>
        <c:grouping val="standard"/>
        <c:varyColors val="0"/>
        <c:ser>
          <c:idx val="0"/>
          <c:order val="0"/>
          <c:tx>
            <c:strRef>
              <c:f>h4_TB4hスプレッド!B4</c:f>
              <c:strCache>
                <c:ptCount val="1"/>
                <c:pt idx="0">
                  <c:v>北海道 25%分位</c:v>
                </c:pt>
              </c:strCache>
            </c:strRef>
          </c:tx>
          <c:spPr>
            <a:solidFill>
              <a:srgbClr val="b7d3f6"/>
            </a:solidFill>
            <a:ln w="21960">
              <a:solidFill>
                <a:srgbClr val="b7d3f6"/>
              </a:solidFill>
              <a:round/>
            </a:ln>
          </c:spPr>
          <c:marker>
            <c:symbol val="circle"/>
            <c:size val="5"/>
            <c:spPr>
              <a:solidFill>
                <a:srgbClr val="b7d3f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h4_TB4hスプレッド!$A$5:$A$14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h4_TB4hスプレッド!$B$5:$B$14</c:f>
              <c:numCache>
                <c:formatCode>0.00</c:formatCode>
                <c:ptCount val="10"/>
                <c:pt idx="0">
                  <c:v>5.555</c:v>
                </c:pt>
                <c:pt idx="1">
                  <c:v>3.44375</c:v>
                </c:pt>
                <c:pt idx="2">
                  <c:v>6.05</c:v>
                </c:pt>
                <c:pt idx="3">
                  <c:v>4.4075</c:v>
                </c:pt>
                <c:pt idx="4">
                  <c:v>2.7275</c:v>
                </c:pt>
                <c:pt idx="5">
                  <c:v>3.94875</c:v>
                </c:pt>
                <c:pt idx="6">
                  <c:v>11.745</c:v>
                </c:pt>
                <c:pt idx="7">
                  <c:v>5.764375</c:v>
                </c:pt>
                <c:pt idx="8">
                  <c:v>6.73625</c:v>
                </c:pt>
                <c:pt idx="9">
                  <c:v>6.5675</c:v>
                </c:pt>
              </c:numCache>
            </c:numRef>
          </c:val>
          <c:smooth val="0"/>
        </c:ser>
        <c:ser>
          <c:idx val="1"/>
          <c:order val="1"/>
          <c:tx>
            <c:strRef>
              <c:f>h4_TB4hスプレッド!C4</c:f>
              <c:strCache>
                <c:ptCount val="1"/>
                <c:pt idx="0">
                  <c:v>北海道 中央値</c:v>
                </c:pt>
              </c:strCache>
            </c:strRef>
          </c:tx>
          <c:spPr>
            <a:solidFill>
              <a:srgbClr val="184f95"/>
            </a:solidFill>
            <a:ln w="21960">
              <a:solidFill>
                <a:srgbClr val="184f95"/>
              </a:solidFill>
              <a:round/>
            </a:ln>
          </c:spPr>
          <c:marker>
            <c:symbol val="circle"/>
            <c:size val="5"/>
            <c:spPr>
              <a:solidFill>
                <a:srgbClr val="184f95"/>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h4_TB4hスプレッド!$A$5:$A$14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h4_TB4hスプレッド!$C$5:$C$14</c:f>
              <c:numCache>
                <c:formatCode>0.00</c:formatCode>
                <c:ptCount val="10"/>
                <c:pt idx="0">
                  <c:v>9.5425</c:v>
                </c:pt>
                <c:pt idx="1">
                  <c:v>5.20875</c:v>
                </c:pt>
                <c:pt idx="2">
                  <c:v>9.19625</c:v>
                </c:pt>
                <c:pt idx="3">
                  <c:v>6.069375</c:v>
                </c:pt>
                <c:pt idx="4">
                  <c:v>3.87</c:v>
                </c:pt>
                <c:pt idx="5">
                  <c:v>8.9</c:v>
                </c:pt>
                <c:pt idx="6">
                  <c:v>19.7175</c:v>
                </c:pt>
                <c:pt idx="7">
                  <c:v>8.4275</c:v>
                </c:pt>
                <c:pt idx="8">
                  <c:v>8.865</c:v>
                </c:pt>
                <c:pt idx="9">
                  <c:v>9.66</c:v>
                </c:pt>
              </c:numCache>
            </c:numRef>
          </c:val>
          <c:smooth val="0"/>
        </c:ser>
        <c:ser>
          <c:idx val="2"/>
          <c:order val="2"/>
          <c:tx>
            <c:strRef>
              <c:f>h4_TB4hスプレッド!D4</c:f>
              <c:strCache>
                <c:ptCount val="1"/>
                <c:pt idx="0">
                  <c:v>北海道 75%分位</c:v>
                </c:pt>
              </c:strCache>
            </c:strRef>
          </c:tx>
          <c:spPr>
            <a:solidFill>
              <a:srgbClr val="b7d3f6"/>
            </a:solidFill>
            <a:ln w="21960">
              <a:solidFill>
                <a:srgbClr val="b7d3f6"/>
              </a:solidFill>
              <a:round/>
            </a:ln>
          </c:spPr>
          <c:marker>
            <c:symbol val="circle"/>
            <c:size val="5"/>
            <c:spPr>
              <a:solidFill>
                <a:srgbClr val="b7d3f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h4_TB4hスプレッド!$A$5:$A$14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h4_TB4hスプレッド!$D$5:$D$14</c:f>
              <c:numCache>
                <c:formatCode>0.00</c:formatCode>
                <c:ptCount val="10"/>
                <c:pt idx="0">
                  <c:v>12.6975</c:v>
                </c:pt>
                <c:pt idx="1">
                  <c:v>7.9825</c:v>
                </c:pt>
                <c:pt idx="2">
                  <c:v>14.65875</c:v>
                </c:pt>
                <c:pt idx="3">
                  <c:v>8.743125</c:v>
                </c:pt>
                <c:pt idx="4">
                  <c:v>7.98</c:v>
                </c:pt>
                <c:pt idx="5">
                  <c:v>17.315</c:v>
                </c:pt>
                <c:pt idx="6">
                  <c:v>27.6575</c:v>
                </c:pt>
                <c:pt idx="7">
                  <c:v>13.0475</c:v>
                </c:pt>
                <c:pt idx="8">
                  <c:v>11.22875</c:v>
                </c:pt>
                <c:pt idx="9">
                  <c:v>13.205</c:v>
                </c:pt>
              </c:numCache>
            </c:numRef>
          </c:val>
          <c:smooth val="0"/>
        </c:ser>
        <c:ser>
          <c:idx val="3"/>
          <c:order val="3"/>
          <c:tx>
            <c:strRef>
              <c:f>h4_TB4hスプレッド!E4</c:f>
              <c:strCache>
                <c:ptCount val="1"/>
                <c:pt idx="0">
                  <c:v>（参考）九州 中央値</c:v>
                </c:pt>
              </c:strCache>
            </c:strRef>
          </c:tx>
          <c:spPr>
            <a:solidFill>
              <a:srgbClr val="ec835a"/>
            </a:solidFill>
            <a:ln w="21960">
              <a:solidFill>
                <a:srgbClr val="ec835a"/>
              </a:solidFill>
              <a:prstDash val="dash"/>
              <a:round/>
            </a:ln>
          </c:spPr>
          <c:marker>
            <c:symbol val="circle"/>
            <c:size val="5"/>
            <c:spPr>
              <a:solidFill>
                <a:srgbClr val="ec835a"/>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h4_TB4hスプレッド!$A$5:$A$14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h4_TB4hスプレッド!$E$5:$E$14</c:f>
              <c:numCache>
                <c:formatCode>0.00</c:formatCode>
                <c:ptCount val="10"/>
                <c:pt idx="0">
                  <c:v>5.515</c:v>
                </c:pt>
                <c:pt idx="1">
                  <c:v>6.15375</c:v>
                </c:pt>
                <c:pt idx="2">
                  <c:v>4.41625</c:v>
                </c:pt>
                <c:pt idx="3">
                  <c:v>4.556875</c:v>
                </c:pt>
                <c:pt idx="4">
                  <c:v>5.40375</c:v>
                </c:pt>
                <c:pt idx="5">
                  <c:v>10.28125</c:v>
                </c:pt>
                <c:pt idx="6">
                  <c:v>19.83125</c:v>
                </c:pt>
                <c:pt idx="7">
                  <c:v>10.8475</c:v>
                </c:pt>
                <c:pt idx="8">
                  <c:v>10.80875</c:v>
                </c:pt>
                <c:pt idx="9">
                  <c:v>9.15</c:v>
                </c:pt>
              </c:numCache>
            </c:numRef>
          </c:val>
          <c:smooth val="0"/>
        </c:ser>
        <c:hiLowLines>
          <c:spPr>
            <a:ln w="0">
              <a:noFill/>
            </a:ln>
          </c:spPr>
        </c:hiLowLines>
        <c:marker val="1"/>
        <c:axId val="80625324"/>
        <c:axId val="72827836"/>
      </c:lineChart>
      <c:catAx>
        <c:axId val="8062532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年度</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827836"/>
        <c:crosses val="autoZero"/>
        <c:auto val="1"/>
        <c:lblAlgn val="ctr"/>
        <c:lblOffset val="100"/>
        <c:noMultiLvlLbl val="0"/>
      </c:catAx>
      <c:valAx>
        <c:axId val="7282783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円/kWh</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62532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分断率の推移（%）</a:t>
            </a:r>
          </a:p>
        </c:rich>
      </c:tx>
      <c:overlay val="0"/>
      <c:spPr>
        <a:noFill/>
        <a:ln w="0">
          <a:noFill/>
        </a:ln>
      </c:spPr>
    </c:title>
    <c:autoTitleDeleted val="0"/>
    <c:plotArea>
      <c:lineChart>
        <c:grouping val="standard"/>
        <c:varyColors val="0"/>
        <c:ser>
          <c:idx val="0"/>
          <c:order val="0"/>
          <c:tx>
            <c:strRef>
              <c:f>h5_分断の方向転換!B4</c:f>
              <c:strCache>
                <c:ptCount val="1"/>
                <c:pt idx="0">
                  <c:v>高値分断率%（北海道&gt;システム）</c:v>
                </c:pt>
              </c:strCache>
            </c:strRef>
          </c:tx>
          <c:spPr>
            <a:solidFill>
              <a:srgbClr val="ec835a"/>
            </a:solidFill>
            <a:ln w="21960">
              <a:solidFill>
                <a:srgbClr val="ec835a"/>
              </a:solidFill>
              <a:round/>
            </a:ln>
          </c:spPr>
          <c:marker>
            <c:symbol val="circle"/>
            <c:size val="5"/>
            <c:spPr>
              <a:solidFill>
                <a:srgbClr val="ec835a"/>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h5_分断の方向転換!$A$5:$A$14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h5_分断の方向転換!$B$5:$B$14</c:f>
              <c:numCache>
                <c:formatCode>0.0</c:formatCode>
                <c:ptCount val="10"/>
                <c:pt idx="0">
                  <c:v>87.2260273972603</c:v>
                </c:pt>
                <c:pt idx="1">
                  <c:v>88.2648401826484</c:v>
                </c:pt>
                <c:pt idx="2">
                  <c:v>92.3287671232877</c:v>
                </c:pt>
                <c:pt idx="3">
                  <c:v>90.0614754098361</c:v>
                </c:pt>
                <c:pt idx="4">
                  <c:v>61.8436073059361</c:v>
                </c:pt>
                <c:pt idx="5">
                  <c:v>37.134703196347</c:v>
                </c:pt>
                <c:pt idx="6">
                  <c:v>65.3595890410959</c:v>
                </c:pt>
                <c:pt idx="7">
                  <c:v>64.6174863387978</c:v>
                </c:pt>
                <c:pt idx="8">
                  <c:v>59.2979452054795</c:v>
                </c:pt>
                <c:pt idx="9">
                  <c:v>60.7477168949772</c:v>
                </c:pt>
              </c:numCache>
            </c:numRef>
          </c:val>
          <c:smooth val="0"/>
        </c:ser>
        <c:ser>
          <c:idx val="1"/>
          <c:order val="1"/>
          <c:tx>
            <c:strRef>
              <c:f>h5_分断の方向転換!C4</c:f>
              <c:strCache>
                <c:ptCount val="1"/>
                <c:pt idx="0">
                  <c:v>安値分断率%（北海道&lt;システム）</c:v>
                </c:pt>
              </c:strCache>
            </c:strRef>
          </c:tx>
          <c:spPr>
            <a:solidFill>
              <a:srgbClr val="2a78d6"/>
            </a:solidFill>
            <a:ln w="21960">
              <a:solidFill>
                <a:srgbClr val="2a78d6"/>
              </a:solidFill>
              <a:round/>
            </a:ln>
          </c:spPr>
          <c:marker>
            <c:symbol val="circle"/>
            <c:size val="5"/>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h5_分断の方向転換!$A$5:$A$14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h5_分断の方向転換!$C$5:$C$14</c:f>
              <c:numCache>
                <c:formatCode>0.0</c:formatCode>
                <c:ptCount val="10"/>
                <c:pt idx="0">
                  <c:v>1.14155251141553</c:v>
                </c:pt>
                <c:pt idx="1">
                  <c:v>5.00570776255708</c:v>
                </c:pt>
                <c:pt idx="2">
                  <c:v>1.27853881278539</c:v>
                </c:pt>
                <c:pt idx="3">
                  <c:v>2.53870673952641</c:v>
                </c:pt>
                <c:pt idx="4">
                  <c:v>20.7191780821918</c:v>
                </c:pt>
                <c:pt idx="5">
                  <c:v>35.2511415525114</c:v>
                </c:pt>
                <c:pt idx="6">
                  <c:v>18.9497716894977</c:v>
                </c:pt>
                <c:pt idx="7">
                  <c:v>20.457650273224</c:v>
                </c:pt>
                <c:pt idx="8">
                  <c:v>30.8961187214612</c:v>
                </c:pt>
                <c:pt idx="9">
                  <c:v>30.0970319634703</c:v>
                </c:pt>
              </c:numCache>
            </c:numRef>
          </c:val>
          <c:smooth val="0"/>
        </c:ser>
        <c:hiLowLines>
          <c:spPr>
            <a:ln w="0">
              <a:noFill/>
            </a:ln>
          </c:spPr>
        </c:hiLowLines>
        <c:marker val="1"/>
        <c:axId val="23259373"/>
        <c:axId val="42536488"/>
      </c:lineChart>
      <c:catAx>
        <c:axId val="2325937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年度</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536488"/>
        <c:crosses val="autoZero"/>
        <c:auto val="1"/>
        <c:lblAlgn val="ctr"/>
        <c:lblOffset val="100"/>
        <c:noMultiLvlLbl val="0"/>
      </c:catAx>
      <c:valAx>
        <c:axId val="4253648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コマ比率（%）</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25937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北海道−東北の平均値差（円/kWh）</a:t>
            </a:r>
          </a:p>
        </c:rich>
      </c:tx>
      <c:overlay val="0"/>
      <c:spPr>
        <a:noFill/>
        <a:ln w="0">
          <a:noFill/>
        </a:ln>
      </c:spPr>
    </c:title>
    <c:autoTitleDeleted val="0"/>
    <c:plotArea>
      <c:barChart>
        <c:barDir val="col"/>
        <c:grouping val="clustered"/>
        <c:varyColors val="0"/>
        <c:ser>
          <c:idx val="0"/>
          <c:order val="0"/>
          <c:tx>
            <c:strRef>
              <c:f>h5_分断の方向転換!D4</c:f>
              <c:strCache>
                <c:ptCount val="1"/>
                <c:pt idx="0">
                  <c:v>北海道−東北 平均値差（円/kWh）</c:v>
                </c:pt>
              </c:strCache>
            </c:strRef>
          </c:tx>
          <c:spPr>
            <a:solidFill>
              <a:srgbClr val="184f9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h5_分断の方向転換!$A$5:$A$14</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h5_分断の方向転換!$D$5:$D$14</c:f>
              <c:numCache>
                <c:formatCode>0.0</c:formatCode>
                <c:ptCount val="10"/>
                <c:pt idx="0">
                  <c:v>2.62689212328767</c:v>
                </c:pt>
                <c:pt idx="1">
                  <c:v>2.31658561643836</c:v>
                </c:pt>
                <c:pt idx="2">
                  <c:v>4.63010628019324</c:v>
                </c:pt>
                <c:pt idx="3">
                  <c:v>1.68036145264117</c:v>
                </c:pt>
                <c:pt idx="4">
                  <c:v>0.399034246575343</c:v>
                </c:pt>
                <c:pt idx="5">
                  <c:v>-0.113630136986301</c:v>
                </c:pt>
                <c:pt idx="6">
                  <c:v>0.0799526255707763</c:v>
                </c:pt>
                <c:pt idx="7">
                  <c:v>0.111849954462659</c:v>
                </c:pt>
                <c:pt idx="8">
                  <c:v>-0.0505445205479452</c:v>
                </c:pt>
                <c:pt idx="9">
                  <c:v>0.31359303652968</c:v>
                </c:pt>
              </c:numCache>
            </c:numRef>
          </c:val>
        </c:ser>
        <c:gapWidth val="150"/>
        <c:overlap val="0"/>
        <c:axId val="67403179"/>
        <c:axId val="10196803"/>
      </c:barChart>
      <c:catAx>
        <c:axId val="6740317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年度</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196803"/>
        <c:crosses val="autoZero"/>
        <c:auto val="1"/>
        <c:lblAlgn val="ctr"/>
        <c:lblOffset val="100"/>
        <c:noMultiLvlLbl val="0"/>
      </c:catAx>
      <c:valAx>
        <c:axId val="1019680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円/kWh</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40317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126000</xdr:rowOff>
    </xdr:from>
    <xdr:to>
      <xdr:col>12</xdr:col>
      <xdr:colOff>408960</xdr:colOff>
      <xdr:row>23</xdr:row>
      <xdr:rowOff>84960</xdr:rowOff>
    </xdr:to>
    <xdr:graphicFrame>
      <xdr:nvGraphicFramePr>
        <xdr:cNvPr id="0" name="Chart 1"/>
        <xdr:cNvGraphicFramePr/>
      </xdr:nvGraphicFramePr>
      <xdr:xfrm>
        <a:off x="4670280" y="571680"/>
        <a:ext cx="647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xdr:row>
      <xdr:rowOff>126000</xdr:rowOff>
    </xdr:from>
    <xdr:to>
      <xdr:col>15</xdr:col>
      <xdr:colOff>370440</xdr:colOff>
      <xdr:row>23</xdr:row>
      <xdr:rowOff>84960</xdr:rowOff>
    </xdr:to>
    <xdr:graphicFrame>
      <xdr:nvGraphicFramePr>
        <xdr:cNvPr id="1" name="Chart 1"/>
        <xdr:cNvGraphicFramePr/>
      </xdr:nvGraphicFramePr>
      <xdr:xfrm>
        <a:off x="7337520" y="571680"/>
        <a:ext cx="719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xdr:row>
      <xdr:rowOff>126000</xdr:rowOff>
    </xdr:from>
    <xdr:to>
      <xdr:col>14</xdr:col>
      <xdr:colOff>408960</xdr:colOff>
      <xdr:row>22</xdr:row>
      <xdr:rowOff>87120</xdr:rowOff>
    </xdr:to>
    <xdr:graphicFrame>
      <xdr:nvGraphicFramePr>
        <xdr:cNvPr id="2" name="Chart 1"/>
        <xdr:cNvGraphicFramePr/>
      </xdr:nvGraphicFramePr>
      <xdr:xfrm>
        <a:off x="7207200" y="571680"/>
        <a:ext cx="647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xdr:row>
      <xdr:rowOff>126000</xdr:rowOff>
    </xdr:from>
    <xdr:to>
      <xdr:col>14</xdr:col>
      <xdr:colOff>408960</xdr:colOff>
      <xdr:row>23</xdr:row>
      <xdr:rowOff>84960</xdr:rowOff>
    </xdr:to>
    <xdr:graphicFrame>
      <xdr:nvGraphicFramePr>
        <xdr:cNvPr id="3" name="Chart 1"/>
        <xdr:cNvGraphicFramePr/>
      </xdr:nvGraphicFramePr>
      <xdr:xfrm>
        <a:off x="8048520" y="571680"/>
        <a:ext cx="647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xdr:row>
      <xdr:rowOff>126000</xdr:rowOff>
    </xdr:from>
    <xdr:to>
      <xdr:col>12</xdr:col>
      <xdr:colOff>87840</xdr:colOff>
      <xdr:row>20</xdr:row>
      <xdr:rowOff>108000</xdr:rowOff>
    </xdr:to>
    <xdr:graphicFrame>
      <xdr:nvGraphicFramePr>
        <xdr:cNvPr id="4" name="Chart 1"/>
        <xdr:cNvGraphicFramePr/>
      </xdr:nvGraphicFramePr>
      <xdr:xfrm>
        <a:off x="6448320" y="571680"/>
        <a:ext cx="539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22</xdr:row>
      <xdr:rowOff>127800</xdr:rowOff>
    </xdr:from>
    <xdr:to>
      <xdr:col>12</xdr:col>
      <xdr:colOff>87840</xdr:colOff>
      <xdr:row>41</xdr:row>
      <xdr:rowOff>107640</xdr:rowOff>
    </xdr:to>
    <xdr:graphicFrame>
      <xdr:nvGraphicFramePr>
        <xdr:cNvPr id="5" name="Chart 2"/>
        <xdr:cNvGraphicFramePr/>
      </xdr:nvGraphicFramePr>
      <xdr:xfrm>
        <a:off x="6448320" y="4572000"/>
        <a:ext cx="539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36"/>
    <col collapsed="false" customWidth="true" hidden="false" outlineLevel="0" max="3" min="3" style="0" width="80"/>
  </cols>
  <sheetData>
    <row r="1" customFormat="false" ht="21.6"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 hidden="false" customHeight="false" outlineLevel="0" collapsed="false">
      <c r="A5" s="3" t="s">
        <v>3</v>
      </c>
      <c r="B5" s="3" t="s">
        <v>4</v>
      </c>
      <c r="C5" s="3" t="s">
        <v>5</v>
      </c>
    </row>
    <row r="6" customFormat="false" ht="15" hidden="false" customHeight="false" outlineLevel="0" collapsed="false">
      <c r="A6" s="4" t="s">
        <v>6</v>
      </c>
      <c r="B6" s="4" t="s">
        <v>7</v>
      </c>
      <c r="C6" s="4" t="s">
        <v>8</v>
      </c>
    </row>
    <row r="7" customFormat="false" ht="15" hidden="false" customHeight="false" outlineLevel="0" collapsed="false">
      <c r="A7" s="4" t="s">
        <v>9</v>
      </c>
      <c r="B7" s="5" t="s">
        <v>10</v>
      </c>
      <c r="C7" s="5" t="s">
        <v>11</v>
      </c>
    </row>
    <row r="8" customFormat="false" ht="15" hidden="false" customHeight="false" outlineLevel="0" collapsed="false">
      <c r="A8" s="4" t="s">
        <v>12</v>
      </c>
      <c r="B8" s="5" t="s">
        <v>13</v>
      </c>
      <c r="C8" s="5" t="s">
        <v>14</v>
      </c>
    </row>
    <row r="9" customFormat="false" ht="15" hidden="false" customHeight="false" outlineLevel="0" collapsed="false">
      <c r="A9" s="4" t="s">
        <v>15</v>
      </c>
      <c r="B9" s="5" t="s">
        <v>16</v>
      </c>
      <c r="C9" s="4" t="s">
        <v>17</v>
      </c>
    </row>
    <row r="10" customFormat="false" ht="15" hidden="false" customHeight="false" outlineLevel="0" collapsed="false">
      <c r="A10" s="4" t="s">
        <v>18</v>
      </c>
      <c r="B10" s="5" t="s">
        <v>19</v>
      </c>
      <c r="C10" s="5"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6"/>
  </cols>
  <sheetData>
    <row r="1" customFormat="false" ht="20.1" hidden="false" customHeight="false" outlineLevel="0" collapsed="false">
      <c r="A1" s="6" t="s">
        <v>21</v>
      </c>
    </row>
    <row r="2" customFormat="false" ht="15" hidden="false" customHeight="false" outlineLevel="0" collapsed="false">
      <c r="A2" s="2" t="s">
        <v>22</v>
      </c>
    </row>
    <row r="4" customFormat="false" ht="15" hidden="false" customHeight="false" outlineLevel="0" collapsed="false">
      <c r="A4" s="7" t="s">
        <v>23</v>
      </c>
      <c r="B4" s="7" t="s">
        <v>24</v>
      </c>
      <c r="C4" s="7" t="s">
        <v>25</v>
      </c>
    </row>
    <row r="5" customFormat="false" ht="15" hidden="false" customHeight="false" outlineLevel="0" collapsed="false">
      <c r="A5" s="4" t="s">
        <v>26</v>
      </c>
      <c r="B5" s="4" t="n">
        <v>16</v>
      </c>
      <c r="C5" s="4" t="n">
        <v>0</v>
      </c>
    </row>
    <row r="6" customFormat="false" ht="15" hidden="false" customHeight="false" outlineLevel="0" collapsed="false">
      <c r="A6" s="4" t="s">
        <v>27</v>
      </c>
      <c r="B6" s="4" t="n">
        <v>0</v>
      </c>
      <c r="C6" s="4" t="n">
        <v>0</v>
      </c>
    </row>
    <row r="7" customFormat="false" ht="15" hidden="false" customHeight="false" outlineLevel="0" collapsed="false">
      <c r="A7" s="4" t="s">
        <v>28</v>
      </c>
      <c r="B7" s="4" t="n">
        <v>0</v>
      </c>
      <c r="C7" s="4" t="n">
        <v>39</v>
      </c>
    </row>
    <row r="8" customFormat="false" ht="15" hidden="false" customHeight="false" outlineLevel="0" collapsed="false">
      <c r="A8" s="4" t="s">
        <v>29</v>
      </c>
      <c r="B8" s="4" t="n">
        <v>0</v>
      </c>
      <c r="C8" s="4" t="n">
        <v>693</v>
      </c>
    </row>
    <row r="9" customFormat="false" ht="15" hidden="false" customHeight="false" outlineLevel="0" collapsed="false">
      <c r="A9" s="4" t="s">
        <v>30</v>
      </c>
      <c r="B9" s="4" t="n">
        <v>79</v>
      </c>
      <c r="C9" s="4" t="n">
        <v>867</v>
      </c>
    </row>
    <row r="10" customFormat="false" ht="15" hidden="false" customHeight="false" outlineLevel="0" collapsed="false">
      <c r="A10" s="4" t="s">
        <v>31</v>
      </c>
      <c r="B10" s="4" t="n">
        <v>177</v>
      </c>
      <c r="C10" s="4" t="n">
        <v>1515</v>
      </c>
    </row>
    <row r="11" customFormat="false" ht="15" hidden="false" customHeight="false" outlineLevel="0" collapsed="false">
      <c r="A11" s="4" t="s">
        <v>32</v>
      </c>
      <c r="B11" s="4" t="n">
        <v>861</v>
      </c>
      <c r="C11" s="4" t="n">
        <v>1909</v>
      </c>
    </row>
    <row r="12" customFormat="false" ht="15" hidden="false" customHeight="false" outlineLevel="0" collapsed="false">
      <c r="A12" s="4" t="s">
        <v>33</v>
      </c>
      <c r="B12" s="4" t="n">
        <v>621</v>
      </c>
      <c r="C12" s="4" t="n">
        <v>2178</v>
      </c>
    </row>
    <row r="13" customFormat="false" ht="15" hidden="false" customHeight="false" outlineLevel="0" collapsed="false">
      <c r="A13" s="4" t="s">
        <v>34</v>
      </c>
      <c r="B13" s="4" t="n">
        <v>348</v>
      </c>
      <c r="C13" s="4" t="n">
        <v>1167</v>
      </c>
    </row>
    <row r="14" customFormat="false" ht="15" hidden="false" customHeight="false" outlineLevel="0" collapsed="false">
      <c r="A14" s="4" t="s">
        <v>35</v>
      </c>
      <c r="B14" s="4" t="n">
        <v>473</v>
      </c>
      <c r="C14" s="4" t="n">
        <v>983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5" min="2" style="0" width="16"/>
  </cols>
  <sheetData>
    <row r="1" customFormat="false" ht="20.1" hidden="false" customHeight="false" outlineLevel="0" collapsed="false">
      <c r="A1" s="6" t="s">
        <v>36</v>
      </c>
    </row>
    <row r="2" customFormat="false" ht="15" hidden="false" customHeight="false" outlineLevel="0" collapsed="false">
      <c r="A2" s="2" t="s">
        <v>37</v>
      </c>
    </row>
    <row r="4" customFormat="false" ht="15" hidden="false" customHeight="false" outlineLevel="0" collapsed="false">
      <c r="A4" s="7" t="s">
        <v>38</v>
      </c>
      <c r="B4" s="8" t="s">
        <v>26</v>
      </c>
      <c r="C4" s="8" t="s">
        <v>29</v>
      </c>
      <c r="D4" s="8" t="s">
        <v>33</v>
      </c>
      <c r="E4" s="8" t="s">
        <v>35</v>
      </c>
    </row>
    <row r="5" customFormat="false" ht="15" hidden="false" customHeight="false" outlineLevel="0" collapsed="false">
      <c r="A5" s="9" t="n">
        <v>0</v>
      </c>
      <c r="B5" s="9" t="n">
        <v>8.64227397260274</v>
      </c>
      <c r="C5" s="9" t="n">
        <v>9.0757650273224</v>
      </c>
      <c r="D5" s="9" t="n">
        <v>12.3151092896175</v>
      </c>
      <c r="E5" s="9" t="n">
        <v>11.7345479452055</v>
      </c>
    </row>
    <row r="6" customFormat="false" ht="15" hidden="false" customHeight="false" outlineLevel="0" collapsed="false">
      <c r="A6" s="9" t="n">
        <v>0.5</v>
      </c>
      <c r="B6" s="9" t="n">
        <v>8.32679452054795</v>
      </c>
      <c r="C6" s="9" t="n">
        <v>8.58267759562842</v>
      </c>
      <c r="D6" s="9" t="n">
        <v>11.6987158469945</v>
      </c>
      <c r="E6" s="9" t="n">
        <v>10.9538630136986</v>
      </c>
    </row>
    <row r="7" customFormat="false" ht="15" hidden="false" customHeight="false" outlineLevel="0" collapsed="false">
      <c r="A7" s="9" t="n">
        <v>1</v>
      </c>
      <c r="B7" s="9" t="n">
        <v>8.1818904109589</v>
      </c>
      <c r="C7" s="9" t="n">
        <v>8.25357923497268</v>
      </c>
      <c r="D7" s="9" t="n">
        <v>11.4940163934426</v>
      </c>
      <c r="E7" s="9" t="n">
        <v>10.9441369863014</v>
      </c>
    </row>
    <row r="8" customFormat="false" ht="15" hidden="false" customHeight="false" outlineLevel="0" collapsed="false">
      <c r="A8" s="9" t="n">
        <v>1.5</v>
      </c>
      <c r="B8" s="9" t="n">
        <v>8.09093150684932</v>
      </c>
      <c r="C8" s="9" t="n">
        <v>8.04254098360656</v>
      </c>
      <c r="D8" s="9" t="n">
        <v>11.4299726775956</v>
      </c>
      <c r="E8" s="9" t="n">
        <v>10.8517808219178</v>
      </c>
    </row>
    <row r="9" customFormat="false" ht="15" hidden="false" customHeight="false" outlineLevel="0" collapsed="false">
      <c r="A9" s="9" t="n">
        <v>2</v>
      </c>
      <c r="B9" s="9" t="n">
        <v>8.04709589041096</v>
      </c>
      <c r="C9" s="9" t="n">
        <v>7.97808743169399</v>
      </c>
      <c r="D9" s="9" t="n">
        <v>11.4747540983607</v>
      </c>
      <c r="E9" s="9" t="n">
        <v>10.9896712328767</v>
      </c>
    </row>
    <row r="10" customFormat="false" ht="15" hidden="false" customHeight="false" outlineLevel="0" collapsed="false">
      <c r="A10" s="9" t="n">
        <v>2.5</v>
      </c>
      <c r="B10" s="9" t="n">
        <v>8.02098630136986</v>
      </c>
      <c r="C10" s="9" t="n">
        <v>7.88997267759563</v>
      </c>
      <c r="D10" s="9" t="n">
        <v>11.5090983606557</v>
      </c>
      <c r="E10" s="9" t="n">
        <v>11.3225479452055</v>
      </c>
    </row>
    <row r="11" customFormat="false" ht="15" hidden="false" customHeight="false" outlineLevel="0" collapsed="false">
      <c r="A11" s="9" t="n">
        <v>3</v>
      </c>
      <c r="B11" s="9" t="n">
        <v>7.99802739726028</v>
      </c>
      <c r="C11" s="9" t="n">
        <v>7.98975409836066</v>
      </c>
      <c r="D11" s="9" t="n">
        <v>11.5953278688525</v>
      </c>
      <c r="E11" s="9" t="n">
        <v>11.4750684931507</v>
      </c>
    </row>
    <row r="12" customFormat="false" ht="15" hidden="false" customHeight="false" outlineLevel="0" collapsed="false">
      <c r="A12" s="9" t="n">
        <v>3.5</v>
      </c>
      <c r="B12" s="9" t="n">
        <v>7.98241095890411</v>
      </c>
      <c r="C12" s="9" t="n">
        <v>7.98382513661202</v>
      </c>
      <c r="D12" s="9" t="n">
        <v>11.6359016393443</v>
      </c>
      <c r="E12" s="9" t="n">
        <v>11.632602739726</v>
      </c>
    </row>
    <row r="13" customFormat="false" ht="15" hidden="false" customHeight="false" outlineLevel="0" collapsed="false">
      <c r="A13" s="9" t="n">
        <v>4</v>
      </c>
      <c r="B13" s="9" t="n">
        <v>7.98619178082192</v>
      </c>
      <c r="C13" s="9" t="n">
        <v>8.02494535519126</v>
      </c>
      <c r="D13" s="9" t="n">
        <v>11.7247267759563</v>
      </c>
      <c r="E13" s="9" t="n">
        <v>11.7778356164384</v>
      </c>
    </row>
    <row r="14" customFormat="false" ht="15" hidden="false" customHeight="false" outlineLevel="0" collapsed="false">
      <c r="A14" s="9" t="n">
        <v>4.5</v>
      </c>
      <c r="B14" s="9" t="n">
        <v>8.02813698630137</v>
      </c>
      <c r="C14" s="9" t="n">
        <v>8.09896174863388</v>
      </c>
      <c r="D14" s="9" t="n">
        <v>11.7810928961749</v>
      </c>
      <c r="E14" s="9" t="n">
        <v>11.804794520548</v>
      </c>
    </row>
    <row r="15" customFormat="false" ht="15" hidden="false" customHeight="false" outlineLevel="0" collapsed="false">
      <c r="A15" s="9" t="n">
        <v>5</v>
      </c>
      <c r="B15" s="9" t="n">
        <v>8.11441095890411</v>
      </c>
      <c r="C15" s="9" t="n">
        <v>8.26024590163934</v>
      </c>
      <c r="D15" s="9" t="n">
        <v>11.9037431693989</v>
      </c>
      <c r="E15" s="9" t="n">
        <v>11.828301369863</v>
      </c>
    </row>
    <row r="16" customFormat="false" ht="15" hidden="false" customHeight="false" outlineLevel="0" collapsed="false">
      <c r="A16" s="9" t="n">
        <v>5.5</v>
      </c>
      <c r="B16" s="9" t="n">
        <v>8.23471232876712</v>
      </c>
      <c r="C16" s="9" t="n">
        <v>8.54467213114754</v>
      </c>
      <c r="D16" s="9" t="n">
        <v>11.8362295081967</v>
      </c>
      <c r="E16" s="9" t="n">
        <v>11.465095890411</v>
      </c>
    </row>
    <row r="17" customFormat="false" ht="15" hidden="false" customHeight="false" outlineLevel="0" collapsed="false">
      <c r="A17" s="9" t="n">
        <v>6</v>
      </c>
      <c r="B17" s="9" t="n">
        <v>8.75649315068493</v>
      </c>
      <c r="C17" s="9" t="n">
        <v>8.76803278688525</v>
      </c>
      <c r="D17" s="9" t="n">
        <v>11.7369398907104</v>
      </c>
      <c r="E17" s="9" t="n">
        <v>11.7490684931507</v>
      </c>
    </row>
    <row r="18" customFormat="false" ht="15" hidden="false" customHeight="false" outlineLevel="0" collapsed="false">
      <c r="A18" s="9" t="n">
        <v>6.5</v>
      </c>
      <c r="B18" s="9" t="n">
        <v>9.42276712328767</v>
      </c>
      <c r="C18" s="9" t="n">
        <v>9.32907103825137</v>
      </c>
      <c r="D18" s="9" t="n">
        <v>11.5515846994536</v>
      </c>
      <c r="E18" s="9" t="n">
        <v>11.4324383561644</v>
      </c>
    </row>
    <row r="19" customFormat="false" ht="15" hidden="false" customHeight="false" outlineLevel="0" collapsed="false">
      <c r="A19" s="9" t="n">
        <v>7</v>
      </c>
      <c r="B19" s="9" t="n">
        <v>10.2963561643836</v>
      </c>
      <c r="C19" s="9" t="n">
        <v>9.69215846994536</v>
      </c>
      <c r="D19" s="9" t="n">
        <v>10.8559836065574</v>
      </c>
      <c r="E19" s="9" t="n">
        <v>10.4939452054795</v>
      </c>
    </row>
    <row r="20" customFormat="false" ht="15" hidden="false" customHeight="false" outlineLevel="0" collapsed="false">
      <c r="A20" s="9" t="n">
        <v>7.5</v>
      </c>
      <c r="B20" s="9" t="n">
        <v>10.5758082191781</v>
      </c>
      <c r="C20" s="9" t="n">
        <v>9.70453551912568</v>
      </c>
      <c r="D20" s="9" t="n">
        <v>10.0753551912568</v>
      </c>
      <c r="E20" s="9" t="n">
        <v>9.98715068493151</v>
      </c>
    </row>
    <row r="21" customFormat="false" ht="15" hidden="false" customHeight="false" outlineLevel="0" collapsed="false">
      <c r="A21" s="9" t="n">
        <v>8</v>
      </c>
      <c r="B21" s="9" t="n">
        <v>11.1337260273973</v>
      </c>
      <c r="C21" s="9" t="n">
        <v>9.98360655737705</v>
      </c>
      <c r="D21" s="9" t="n">
        <v>9.90169398907104</v>
      </c>
      <c r="E21" s="9" t="n">
        <v>9.84290410958904</v>
      </c>
    </row>
    <row r="22" customFormat="false" ht="15" hidden="false" customHeight="false" outlineLevel="0" collapsed="false">
      <c r="A22" s="9" t="n">
        <v>8.5</v>
      </c>
      <c r="B22" s="9" t="n">
        <v>12.4973698630137</v>
      </c>
      <c r="C22" s="9" t="n">
        <v>10.5133879781421</v>
      </c>
      <c r="D22" s="9" t="n">
        <v>9.7192349726776</v>
      </c>
      <c r="E22" s="9" t="n">
        <v>9.75846575342466</v>
      </c>
    </row>
    <row r="23" customFormat="false" ht="15" hidden="false" customHeight="false" outlineLevel="0" collapsed="false">
      <c r="A23" s="9" t="n">
        <v>9</v>
      </c>
      <c r="B23" s="9" t="n">
        <v>13.4846301369863</v>
      </c>
      <c r="C23" s="9" t="n">
        <v>11.0945081967213</v>
      </c>
      <c r="D23" s="9" t="n">
        <v>9.32734972677596</v>
      </c>
      <c r="E23" s="9" t="n">
        <v>9.31761643835617</v>
      </c>
    </row>
    <row r="24" customFormat="false" ht="15" hidden="false" customHeight="false" outlineLevel="0" collapsed="false">
      <c r="A24" s="9" t="n">
        <v>9.5</v>
      </c>
      <c r="B24" s="9" t="n">
        <v>13.5973424657534</v>
      </c>
      <c r="C24" s="9" t="n">
        <v>10.7960382513661</v>
      </c>
      <c r="D24" s="9" t="n">
        <v>8.59172131147541</v>
      </c>
      <c r="E24" s="9" t="n">
        <v>8.72819178082192</v>
      </c>
    </row>
    <row r="25" customFormat="false" ht="15" hidden="false" customHeight="false" outlineLevel="0" collapsed="false">
      <c r="A25" s="9" t="n">
        <v>10</v>
      </c>
      <c r="B25" s="9" t="n">
        <v>13.7228219178082</v>
      </c>
      <c r="C25" s="9" t="n">
        <v>10.3332513661202</v>
      </c>
      <c r="D25" s="9" t="n">
        <v>7.86428961748634</v>
      </c>
      <c r="E25" s="9" t="n">
        <v>7.88846575342466</v>
      </c>
    </row>
    <row r="26" customFormat="false" ht="15" hidden="false" customHeight="false" outlineLevel="0" collapsed="false">
      <c r="A26" s="9" t="n">
        <v>10.5</v>
      </c>
      <c r="B26" s="9" t="n">
        <v>13.7149315068493</v>
      </c>
      <c r="C26" s="9" t="n">
        <v>10.3607923497268</v>
      </c>
      <c r="D26" s="9" t="n">
        <v>7.48469945355191</v>
      </c>
      <c r="E26" s="9" t="n">
        <v>7.55950684931507</v>
      </c>
    </row>
    <row r="27" customFormat="false" ht="15" hidden="false" customHeight="false" outlineLevel="0" collapsed="false">
      <c r="A27" s="9" t="n">
        <v>11</v>
      </c>
      <c r="B27" s="9" t="n">
        <v>13.9768493150685</v>
      </c>
      <c r="C27" s="9" t="n">
        <v>10.258825136612</v>
      </c>
      <c r="D27" s="9" t="n">
        <v>7.2848087431694</v>
      </c>
      <c r="E27" s="9" t="n">
        <v>7.76731506849315</v>
      </c>
    </row>
    <row r="28" customFormat="false" ht="15" hidden="false" customHeight="false" outlineLevel="0" collapsed="false">
      <c r="A28" s="9" t="n">
        <v>11.5</v>
      </c>
      <c r="B28" s="9" t="n">
        <v>13.8255068493151</v>
      </c>
      <c r="C28" s="9" t="n">
        <v>10.1022677595628</v>
      </c>
      <c r="D28" s="9" t="n">
        <v>7.17912568306011</v>
      </c>
      <c r="E28" s="9" t="n">
        <v>7.5481095890411</v>
      </c>
    </row>
    <row r="29" customFormat="false" ht="15" hidden="false" customHeight="false" outlineLevel="0" collapsed="false">
      <c r="A29" s="9" t="n">
        <v>12</v>
      </c>
      <c r="B29" s="9" t="n">
        <v>12.2957534246575</v>
      </c>
      <c r="C29" s="9" t="n">
        <v>9.14106557377049</v>
      </c>
      <c r="D29" s="9" t="n">
        <v>6.19322404371585</v>
      </c>
      <c r="E29" s="9" t="n">
        <v>6.76901369863014</v>
      </c>
    </row>
    <row r="30" customFormat="false" ht="15" hidden="false" customHeight="false" outlineLevel="0" collapsed="false">
      <c r="A30" s="9" t="n">
        <v>12.5</v>
      </c>
      <c r="B30" s="9" t="n">
        <v>12.4451506849315</v>
      </c>
      <c r="C30" s="9" t="n">
        <v>9.17866120218579</v>
      </c>
      <c r="D30" s="9" t="n">
        <v>6.47748633879782</v>
      </c>
      <c r="E30" s="9" t="n">
        <v>6.9458904109589</v>
      </c>
    </row>
    <row r="31" customFormat="false" ht="15" hidden="false" customHeight="false" outlineLevel="0" collapsed="false">
      <c r="A31" s="9" t="n">
        <v>13</v>
      </c>
      <c r="B31" s="9" t="n">
        <v>14.0291506849315</v>
      </c>
      <c r="C31" s="9" t="n">
        <v>10.1328415300546</v>
      </c>
      <c r="D31" s="9" t="n">
        <v>7.83915300546448</v>
      </c>
      <c r="E31" s="9" t="n">
        <v>8.25317808219178</v>
      </c>
    </row>
    <row r="32" customFormat="false" ht="15" hidden="false" customHeight="false" outlineLevel="0" collapsed="false">
      <c r="A32" s="9" t="n">
        <v>13.5</v>
      </c>
      <c r="B32" s="9" t="n">
        <v>14.7909589041096</v>
      </c>
      <c r="C32" s="9" t="n">
        <v>10.6743715846995</v>
      </c>
      <c r="D32" s="9" t="n">
        <v>8.7624043715847</v>
      </c>
      <c r="E32" s="9" t="n">
        <v>9.13024657534247</v>
      </c>
    </row>
    <row r="33" customFormat="false" ht="15" hidden="false" customHeight="false" outlineLevel="0" collapsed="false">
      <c r="A33" s="9" t="n">
        <v>14</v>
      </c>
      <c r="B33" s="9" t="n">
        <v>15.3262465753425</v>
      </c>
      <c r="C33" s="9" t="n">
        <v>11.3102732240437</v>
      </c>
      <c r="D33" s="9" t="n">
        <v>9.39475409836066</v>
      </c>
      <c r="E33" s="9" t="n">
        <v>9.58279452054794</v>
      </c>
    </row>
    <row r="34" customFormat="false" ht="15" hidden="false" customHeight="false" outlineLevel="0" collapsed="false">
      <c r="A34" s="9" t="n">
        <v>14.5</v>
      </c>
      <c r="B34" s="9" t="n">
        <v>16.4150410958904</v>
      </c>
      <c r="C34" s="9" t="n">
        <v>12.0911475409836</v>
      </c>
      <c r="D34" s="9" t="n">
        <v>10.5669672131148</v>
      </c>
      <c r="E34" s="9" t="n">
        <v>10.3274520547945</v>
      </c>
    </row>
    <row r="35" customFormat="false" ht="15" hidden="false" customHeight="false" outlineLevel="0" collapsed="false">
      <c r="A35" s="9" t="n">
        <v>15</v>
      </c>
      <c r="B35" s="9" t="n">
        <v>15.9730136986301</v>
      </c>
      <c r="C35" s="9" t="n">
        <v>12.7655464480874</v>
      </c>
      <c r="D35" s="9" t="n">
        <v>11.5353551912568</v>
      </c>
      <c r="E35" s="9" t="n">
        <v>11.2293150684932</v>
      </c>
    </row>
    <row r="36" customFormat="false" ht="15" hidden="false" customHeight="false" outlineLevel="0" collapsed="false">
      <c r="A36" s="9" t="n">
        <v>15.5</v>
      </c>
      <c r="B36" s="9" t="n">
        <v>17.469698630137</v>
      </c>
      <c r="C36" s="9" t="n">
        <v>13.8296721311475</v>
      </c>
      <c r="D36" s="9" t="n">
        <v>12.7603278688525</v>
      </c>
      <c r="E36" s="9" t="n">
        <v>13.3361917808219</v>
      </c>
    </row>
    <row r="37" customFormat="false" ht="15" hidden="false" customHeight="false" outlineLevel="0" collapsed="false">
      <c r="A37" s="9" t="n">
        <v>16</v>
      </c>
      <c r="B37" s="9" t="n">
        <v>18.0093698630137</v>
      </c>
      <c r="C37" s="9" t="n">
        <v>14.9858743169399</v>
      </c>
      <c r="D37" s="9" t="n">
        <v>13.7803005464481</v>
      </c>
      <c r="E37" s="9" t="n">
        <v>14.6784657534247</v>
      </c>
    </row>
    <row r="38" customFormat="false" ht="15" hidden="false" customHeight="false" outlineLevel="0" collapsed="false">
      <c r="A38" s="9" t="n">
        <v>16.5</v>
      </c>
      <c r="B38" s="9" t="n">
        <v>18.052602739726</v>
      </c>
      <c r="C38" s="9" t="n">
        <v>15.7549180327869</v>
      </c>
      <c r="D38" s="9" t="n">
        <v>14.9021584699454</v>
      </c>
      <c r="E38" s="9" t="n">
        <v>16.5627123287671</v>
      </c>
    </row>
    <row r="39" customFormat="false" ht="15" hidden="false" customHeight="false" outlineLevel="0" collapsed="false">
      <c r="A39" s="9" t="n">
        <v>17</v>
      </c>
      <c r="B39" s="9" t="n">
        <v>16.7482191780822</v>
      </c>
      <c r="C39" s="9" t="n">
        <v>15.1003278688525</v>
      </c>
      <c r="D39" s="9" t="n">
        <v>15.1453825136612</v>
      </c>
      <c r="E39" s="9" t="n">
        <v>16.4627123287671</v>
      </c>
    </row>
    <row r="40" customFormat="false" ht="15" hidden="false" customHeight="false" outlineLevel="0" collapsed="false">
      <c r="A40" s="9" t="n">
        <v>17.5</v>
      </c>
      <c r="B40" s="9" t="n">
        <v>16.0383287671233</v>
      </c>
      <c r="C40" s="9" t="n">
        <v>15.112131147541</v>
      </c>
      <c r="D40" s="9" t="n">
        <v>15.5423770491803</v>
      </c>
      <c r="E40" s="9" t="n">
        <v>17.0397808219178</v>
      </c>
    </row>
    <row r="41" customFormat="false" ht="15" hidden="false" customHeight="false" outlineLevel="0" collapsed="false">
      <c r="A41" s="9" t="n">
        <v>18</v>
      </c>
      <c r="B41" s="9" t="n">
        <v>15.5202191780822</v>
      </c>
      <c r="C41" s="9" t="n">
        <v>15.4103551912568</v>
      </c>
      <c r="D41" s="9" t="n">
        <v>15.5031147540984</v>
      </c>
      <c r="E41" s="9" t="n">
        <v>17.1644931506849</v>
      </c>
    </row>
    <row r="42" customFormat="false" ht="15" hidden="false" customHeight="false" outlineLevel="0" collapsed="false">
      <c r="A42" s="9" t="n">
        <v>18.5</v>
      </c>
      <c r="B42" s="9" t="n">
        <v>15.1984383561644</v>
      </c>
      <c r="C42" s="9" t="n">
        <v>15.1155464480874</v>
      </c>
      <c r="D42" s="9" t="n">
        <v>15.5210655737705</v>
      </c>
      <c r="E42" s="9" t="n">
        <v>17.0268219178082</v>
      </c>
    </row>
    <row r="43" customFormat="false" ht="15" hidden="false" customHeight="false" outlineLevel="0" collapsed="false">
      <c r="A43" s="9" t="n">
        <v>19</v>
      </c>
      <c r="B43" s="9" t="n">
        <v>14.3218630136986</v>
      </c>
      <c r="C43" s="9" t="n">
        <v>14.2814207650273</v>
      </c>
      <c r="D43" s="9" t="n">
        <v>15.144781420765</v>
      </c>
      <c r="E43" s="9" t="n">
        <v>16.582904109589</v>
      </c>
    </row>
    <row r="44" customFormat="false" ht="15" hidden="false" customHeight="false" outlineLevel="0" collapsed="false">
      <c r="A44" s="9" t="n">
        <v>19.5</v>
      </c>
      <c r="B44" s="9" t="n">
        <v>13.4070684931507</v>
      </c>
      <c r="C44" s="9" t="n">
        <v>13.3922404371585</v>
      </c>
      <c r="D44" s="9" t="n">
        <v>14.7225683060109</v>
      </c>
      <c r="E44" s="9" t="n">
        <v>15.8610684931507</v>
      </c>
    </row>
    <row r="45" customFormat="false" ht="15" hidden="false" customHeight="false" outlineLevel="0" collapsed="false">
      <c r="A45" s="9" t="n">
        <v>20</v>
      </c>
      <c r="B45" s="9" t="n">
        <v>12.7002465753425</v>
      </c>
      <c r="C45" s="9" t="n">
        <v>12.8627868852459</v>
      </c>
      <c r="D45" s="9" t="n">
        <v>14.426912568306</v>
      </c>
      <c r="E45" s="9" t="n">
        <v>15.4099452054795</v>
      </c>
    </row>
    <row r="46" customFormat="false" ht="15" hidden="false" customHeight="false" outlineLevel="0" collapsed="false">
      <c r="A46" s="9" t="n">
        <v>20.5</v>
      </c>
      <c r="B46" s="9" t="n">
        <v>11.8153150684932</v>
      </c>
      <c r="C46" s="9" t="n">
        <v>12.1724590163934</v>
      </c>
      <c r="D46" s="9" t="n">
        <v>13.9881967213115</v>
      </c>
      <c r="E46" s="9" t="n">
        <v>14.7148767123288</v>
      </c>
    </row>
    <row r="47" customFormat="false" ht="15" hidden="false" customHeight="false" outlineLevel="0" collapsed="false">
      <c r="A47" s="9" t="n">
        <v>21</v>
      </c>
      <c r="B47" s="9" t="n">
        <v>11.0024383561644</v>
      </c>
      <c r="C47" s="9" t="n">
        <v>11.334781420765</v>
      </c>
      <c r="D47" s="9" t="n">
        <v>13.5642896174863</v>
      </c>
      <c r="E47" s="9" t="n">
        <v>13.975095890411</v>
      </c>
    </row>
    <row r="48" customFormat="false" ht="15" hidden="false" customHeight="false" outlineLevel="0" collapsed="false">
      <c r="A48" s="9" t="n">
        <v>21.5</v>
      </c>
      <c r="B48" s="9" t="n">
        <v>10.1494794520548</v>
      </c>
      <c r="C48" s="9" t="n">
        <v>10.802650273224</v>
      </c>
      <c r="D48" s="9" t="n">
        <v>12.9951092896175</v>
      </c>
      <c r="E48" s="9" t="n">
        <v>12.9835342465753</v>
      </c>
    </row>
    <row r="49" customFormat="false" ht="15" hidden="false" customHeight="false" outlineLevel="0" collapsed="false">
      <c r="A49" s="9" t="n">
        <v>22</v>
      </c>
      <c r="B49" s="9" t="n">
        <v>10.7944383561644</v>
      </c>
      <c r="C49" s="9" t="n">
        <v>10.6865573770492</v>
      </c>
      <c r="D49" s="9" t="n">
        <v>12.6595901639344</v>
      </c>
      <c r="E49" s="9" t="n">
        <v>12.9303287671233</v>
      </c>
    </row>
    <row r="50" customFormat="false" ht="15" hidden="false" customHeight="false" outlineLevel="0" collapsed="false">
      <c r="A50" s="9" t="n">
        <v>22.5</v>
      </c>
      <c r="B50" s="9" t="n">
        <v>9.98613698630137</v>
      </c>
      <c r="C50" s="9" t="n">
        <v>10.4025956284153</v>
      </c>
      <c r="D50" s="9" t="n">
        <v>12.312349726776</v>
      </c>
      <c r="E50" s="9" t="n">
        <v>12.1004657534247</v>
      </c>
    </row>
    <row r="51" customFormat="false" ht="15" hidden="false" customHeight="false" outlineLevel="0" collapsed="false">
      <c r="A51" s="9" t="n">
        <v>23</v>
      </c>
      <c r="B51" s="9" t="n">
        <v>9.25715068493151</v>
      </c>
      <c r="C51" s="9" t="n">
        <v>9.75773224043716</v>
      </c>
      <c r="D51" s="9" t="n">
        <v>12.1334699453552</v>
      </c>
      <c r="E51" s="9" t="n">
        <v>12.3880273972603</v>
      </c>
    </row>
    <row r="52" customFormat="false" ht="15" hidden="false" customHeight="false" outlineLevel="0" collapsed="false">
      <c r="A52" s="9" t="n">
        <v>23.5</v>
      </c>
      <c r="B52" s="9" t="n">
        <v>8.75871232876712</v>
      </c>
      <c r="C52" s="9" t="n">
        <v>9.53871584699454</v>
      </c>
      <c r="D52" s="9" t="n">
        <v>11.5120218579235</v>
      </c>
      <c r="E52" s="9" t="n">
        <v>11.4512602739726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4" min="2" style="0" width="18"/>
  </cols>
  <sheetData>
    <row r="1" customFormat="false" ht="20.1" hidden="false" customHeight="false" outlineLevel="0" collapsed="false">
      <c r="A1" s="6" t="s">
        <v>39</v>
      </c>
    </row>
    <row r="2" customFormat="false" ht="15" hidden="false" customHeight="false" outlineLevel="0" collapsed="false">
      <c r="A2" s="2" t="s">
        <v>40</v>
      </c>
    </row>
    <row r="4" customFormat="false" ht="29.85" hidden="false" customHeight="false" outlineLevel="0" collapsed="false">
      <c r="A4" s="7" t="s">
        <v>23</v>
      </c>
      <c r="B4" s="7" t="s">
        <v>41</v>
      </c>
      <c r="C4" s="7" t="s">
        <v>42</v>
      </c>
      <c r="D4" s="7" t="s">
        <v>43</v>
      </c>
      <c r="E4" s="10" t="s">
        <v>44</v>
      </c>
    </row>
    <row r="5" customFormat="false" ht="15" hidden="false" customHeight="false" outlineLevel="0" collapsed="false">
      <c r="A5" s="4" t="s">
        <v>26</v>
      </c>
      <c r="B5" s="11" t="n">
        <v>10856.019</v>
      </c>
      <c r="C5" s="11" t="n">
        <v>7729.0935</v>
      </c>
      <c r="D5" s="11" t="n">
        <v>5823.13875</v>
      </c>
      <c r="E5" s="12" t="n">
        <f aca="false">C5/B5</f>
        <v>0.711963888419871</v>
      </c>
    </row>
    <row r="6" customFormat="false" ht="15" hidden="false" customHeight="false" outlineLevel="0" collapsed="false">
      <c r="A6" s="4" t="s">
        <v>27</v>
      </c>
      <c r="B6" s="11" t="n">
        <v>6356.454</v>
      </c>
      <c r="C6" s="11" t="n">
        <v>4592.39725</v>
      </c>
      <c r="D6" s="11" t="n">
        <v>7982.02725</v>
      </c>
      <c r="E6" s="12" t="n">
        <f aca="false">C6/B6</f>
        <v>0.722477854791366</v>
      </c>
    </row>
    <row r="7" customFormat="false" ht="15" hidden="false" customHeight="false" outlineLevel="0" collapsed="false">
      <c r="A7" s="4" t="s">
        <v>28</v>
      </c>
      <c r="B7" s="11" t="n">
        <v>10302.0915</v>
      </c>
      <c r="C7" s="11" t="n">
        <v>6818.0205</v>
      </c>
      <c r="D7" s="11" t="n">
        <v>5490.88475</v>
      </c>
      <c r="E7" s="12" t="n">
        <f aca="false">C7/B7</f>
        <v>0.661809352013618</v>
      </c>
    </row>
    <row r="8" customFormat="false" ht="15" hidden="false" customHeight="false" outlineLevel="0" collapsed="false">
      <c r="A8" s="4" t="s">
        <v>29</v>
      </c>
      <c r="B8" s="11" t="n">
        <v>8899.1025</v>
      </c>
      <c r="C8" s="11" t="n">
        <v>5893.0215</v>
      </c>
      <c r="D8" s="11" t="n">
        <v>5944.75575</v>
      </c>
      <c r="E8" s="12" t="n">
        <f aca="false">C8/B8</f>
        <v>0.662204025630674</v>
      </c>
    </row>
    <row r="9" customFormat="false" ht="15" hidden="false" customHeight="false" outlineLevel="0" collapsed="false">
      <c r="A9" s="4" t="s">
        <v>30</v>
      </c>
      <c r="B9" s="11" t="n">
        <v>15853.9855</v>
      </c>
      <c r="C9" s="11" t="n">
        <v>11755.74925</v>
      </c>
      <c r="D9" s="11" t="n">
        <v>16070.8805</v>
      </c>
      <c r="E9" s="12" t="n">
        <f aca="false">C9/B9</f>
        <v>0.741501198547204</v>
      </c>
    </row>
    <row r="10" customFormat="false" ht="15" hidden="false" customHeight="false" outlineLevel="0" collapsed="false">
      <c r="A10" s="4" t="s">
        <v>31</v>
      </c>
      <c r="B10" s="11" t="n">
        <v>13530.5155</v>
      </c>
      <c r="C10" s="11" t="n">
        <v>8879.3725</v>
      </c>
      <c r="D10" s="11" t="n">
        <v>16040.39325</v>
      </c>
      <c r="E10" s="12" t="n">
        <f aca="false">C10/B10</f>
        <v>0.65624790866246</v>
      </c>
    </row>
    <row r="11" customFormat="false" ht="15" hidden="false" customHeight="false" outlineLevel="0" collapsed="false">
      <c r="A11" s="4" t="s">
        <v>32</v>
      </c>
      <c r="B11" s="11" t="n">
        <v>25159.57</v>
      </c>
      <c r="C11" s="11" t="n">
        <v>18730.388</v>
      </c>
      <c r="D11" s="11" t="n">
        <v>24367.18225</v>
      </c>
      <c r="E11" s="12" t="n">
        <f aca="false">C11/B11</f>
        <v>0.744463756733521</v>
      </c>
    </row>
    <row r="12" customFormat="false" ht="15" hidden="false" customHeight="false" outlineLevel="0" collapsed="false">
      <c r="A12" s="4" t="s">
        <v>33</v>
      </c>
      <c r="B12" s="11" t="n">
        <v>9873.465</v>
      </c>
      <c r="C12" s="11" t="n">
        <v>6734.827</v>
      </c>
      <c r="D12" s="11" t="n">
        <v>12521.427</v>
      </c>
      <c r="E12" s="12" t="n">
        <f aca="false">C12/B12</f>
        <v>0.682113827313917</v>
      </c>
    </row>
    <row r="13" customFormat="false" ht="15" hidden="false" customHeight="false" outlineLevel="0" collapsed="false">
      <c r="A13" s="4" t="s">
        <v>34</v>
      </c>
      <c r="B13" s="11" t="n">
        <v>9586.42875</v>
      </c>
      <c r="C13" s="11" t="n">
        <v>6520.3355</v>
      </c>
      <c r="D13" s="11" t="n">
        <v>12401.45525</v>
      </c>
      <c r="E13" s="12" t="n">
        <f aca="false">C13/B13</f>
        <v>0.680163142087714</v>
      </c>
    </row>
    <row r="14" customFormat="false" ht="15" hidden="false" customHeight="false" outlineLevel="0" collapsed="false">
      <c r="A14" s="4" t="s">
        <v>35</v>
      </c>
      <c r="B14" s="11" t="n">
        <v>11492.5245</v>
      </c>
      <c r="C14" s="11" t="n">
        <v>7968.0805</v>
      </c>
      <c r="D14" s="11" t="n">
        <v>10366.1825</v>
      </c>
      <c r="E14" s="12" t="n">
        <f aca="false">C14/B14</f>
        <v>0.693327258079807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5" min="2" style="0" width="18"/>
  </cols>
  <sheetData>
    <row r="1" customFormat="false" ht="20.1" hidden="false" customHeight="false" outlineLevel="0" collapsed="false">
      <c r="A1" s="6" t="s">
        <v>45</v>
      </c>
    </row>
    <row r="2" customFormat="false" ht="15" hidden="false" customHeight="false" outlineLevel="0" collapsed="false">
      <c r="A2" s="2" t="s">
        <v>46</v>
      </c>
    </row>
    <row r="4" customFormat="false" ht="15" hidden="false" customHeight="false" outlineLevel="0" collapsed="false">
      <c r="A4" s="7" t="s">
        <v>23</v>
      </c>
      <c r="B4" s="7" t="s">
        <v>47</v>
      </c>
      <c r="C4" s="7" t="s">
        <v>48</v>
      </c>
      <c r="D4" s="7" t="s">
        <v>49</v>
      </c>
      <c r="E4" s="7" t="s">
        <v>50</v>
      </c>
    </row>
    <row r="5" customFormat="false" ht="15" hidden="false" customHeight="false" outlineLevel="0" collapsed="false">
      <c r="A5" s="4" t="s">
        <v>26</v>
      </c>
      <c r="B5" s="9" t="n">
        <v>5.555</v>
      </c>
      <c r="C5" s="9" t="n">
        <v>9.5425</v>
      </c>
      <c r="D5" s="9" t="n">
        <v>12.6975</v>
      </c>
      <c r="E5" s="9" t="n">
        <v>5.515</v>
      </c>
    </row>
    <row r="6" customFormat="false" ht="15" hidden="false" customHeight="false" outlineLevel="0" collapsed="false">
      <c r="A6" s="4" t="s">
        <v>27</v>
      </c>
      <c r="B6" s="9" t="n">
        <v>3.44375</v>
      </c>
      <c r="C6" s="9" t="n">
        <v>5.20875</v>
      </c>
      <c r="D6" s="9" t="n">
        <v>7.9825</v>
      </c>
      <c r="E6" s="9" t="n">
        <v>6.15375</v>
      </c>
    </row>
    <row r="7" customFormat="false" ht="15" hidden="false" customHeight="false" outlineLevel="0" collapsed="false">
      <c r="A7" s="4" t="s">
        <v>28</v>
      </c>
      <c r="B7" s="9" t="n">
        <v>6.05</v>
      </c>
      <c r="C7" s="9" t="n">
        <v>9.19625</v>
      </c>
      <c r="D7" s="9" t="n">
        <v>14.65875</v>
      </c>
      <c r="E7" s="9" t="n">
        <v>4.41625</v>
      </c>
    </row>
    <row r="8" customFormat="false" ht="15" hidden="false" customHeight="false" outlineLevel="0" collapsed="false">
      <c r="A8" s="4" t="s">
        <v>29</v>
      </c>
      <c r="B8" s="9" t="n">
        <v>4.4075</v>
      </c>
      <c r="C8" s="9" t="n">
        <v>6.069375</v>
      </c>
      <c r="D8" s="9" t="n">
        <v>8.743125</v>
      </c>
      <c r="E8" s="9" t="n">
        <v>4.556875</v>
      </c>
    </row>
    <row r="9" customFormat="false" ht="15" hidden="false" customHeight="false" outlineLevel="0" collapsed="false">
      <c r="A9" s="4" t="s">
        <v>30</v>
      </c>
      <c r="B9" s="9" t="n">
        <v>2.7275</v>
      </c>
      <c r="C9" s="9" t="n">
        <v>3.87</v>
      </c>
      <c r="D9" s="9" t="n">
        <v>7.98</v>
      </c>
      <c r="E9" s="9" t="n">
        <v>5.40375</v>
      </c>
    </row>
    <row r="10" customFormat="false" ht="15" hidden="false" customHeight="false" outlineLevel="0" collapsed="false">
      <c r="A10" s="4" t="s">
        <v>31</v>
      </c>
      <c r="B10" s="9" t="n">
        <v>3.94875</v>
      </c>
      <c r="C10" s="9" t="n">
        <v>8.9</v>
      </c>
      <c r="D10" s="9" t="n">
        <v>17.315</v>
      </c>
      <c r="E10" s="9" t="n">
        <v>10.28125</v>
      </c>
    </row>
    <row r="11" customFormat="false" ht="15" hidden="false" customHeight="false" outlineLevel="0" collapsed="false">
      <c r="A11" s="4" t="s">
        <v>32</v>
      </c>
      <c r="B11" s="9" t="n">
        <v>11.745</v>
      </c>
      <c r="C11" s="9" t="n">
        <v>19.7175</v>
      </c>
      <c r="D11" s="9" t="n">
        <v>27.6575</v>
      </c>
      <c r="E11" s="9" t="n">
        <v>19.83125</v>
      </c>
    </row>
    <row r="12" customFormat="false" ht="15" hidden="false" customHeight="false" outlineLevel="0" collapsed="false">
      <c r="A12" s="4" t="s">
        <v>33</v>
      </c>
      <c r="B12" s="9" t="n">
        <v>5.764375</v>
      </c>
      <c r="C12" s="9" t="n">
        <v>8.4275</v>
      </c>
      <c r="D12" s="9" t="n">
        <v>13.0475</v>
      </c>
      <c r="E12" s="9" t="n">
        <v>10.8475</v>
      </c>
    </row>
    <row r="13" customFormat="false" ht="15" hidden="false" customHeight="false" outlineLevel="0" collapsed="false">
      <c r="A13" s="4" t="s">
        <v>34</v>
      </c>
      <c r="B13" s="9" t="n">
        <v>6.73625</v>
      </c>
      <c r="C13" s="9" t="n">
        <v>8.865</v>
      </c>
      <c r="D13" s="9" t="n">
        <v>11.22875</v>
      </c>
      <c r="E13" s="9" t="n">
        <v>10.80875</v>
      </c>
    </row>
    <row r="14" customFormat="false" ht="15" hidden="false" customHeight="false" outlineLevel="0" collapsed="false">
      <c r="A14" s="4" t="s">
        <v>35</v>
      </c>
      <c r="B14" s="9" t="n">
        <v>6.5675</v>
      </c>
      <c r="C14" s="9" t="n">
        <v>9.66</v>
      </c>
      <c r="D14" s="9" t="n">
        <v>13.205</v>
      </c>
      <c r="E14" s="9" t="n">
        <v>9.15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4" min="2" style="0" width="18"/>
  </cols>
  <sheetData>
    <row r="1" customFormat="false" ht="20.1" hidden="false" customHeight="false" outlineLevel="0" collapsed="false">
      <c r="A1" s="6" t="s">
        <v>51</v>
      </c>
    </row>
    <row r="2" customFormat="false" ht="15" hidden="false" customHeight="false" outlineLevel="0" collapsed="false">
      <c r="A2" s="2" t="s">
        <v>52</v>
      </c>
    </row>
    <row r="4" customFormat="false" ht="29.85" hidden="false" customHeight="false" outlineLevel="0" collapsed="false">
      <c r="A4" s="7" t="s">
        <v>23</v>
      </c>
      <c r="B4" s="7" t="s">
        <v>53</v>
      </c>
      <c r="C4" s="7" t="s">
        <v>54</v>
      </c>
      <c r="D4" s="7" t="s">
        <v>55</v>
      </c>
    </row>
    <row r="5" customFormat="false" ht="15" hidden="false" customHeight="false" outlineLevel="0" collapsed="false">
      <c r="A5" s="4" t="s">
        <v>26</v>
      </c>
      <c r="B5" s="13" t="n">
        <v>87.2260273972603</v>
      </c>
      <c r="C5" s="13" t="n">
        <v>1.14155251141553</v>
      </c>
      <c r="D5" s="13" t="n">
        <v>2.62689212328767</v>
      </c>
    </row>
    <row r="6" customFormat="false" ht="15" hidden="false" customHeight="false" outlineLevel="0" collapsed="false">
      <c r="A6" s="4" t="s">
        <v>27</v>
      </c>
      <c r="B6" s="13" t="n">
        <v>88.2648401826484</v>
      </c>
      <c r="C6" s="13" t="n">
        <v>5.00570776255708</v>
      </c>
      <c r="D6" s="13" t="n">
        <v>2.31658561643836</v>
      </c>
    </row>
    <row r="7" customFormat="false" ht="15" hidden="false" customHeight="false" outlineLevel="0" collapsed="false">
      <c r="A7" s="4" t="s">
        <v>28</v>
      </c>
      <c r="B7" s="13" t="n">
        <v>92.3287671232877</v>
      </c>
      <c r="C7" s="13" t="n">
        <v>1.27853881278539</v>
      </c>
      <c r="D7" s="13" t="n">
        <v>4.63010628019324</v>
      </c>
    </row>
    <row r="8" customFormat="false" ht="15" hidden="false" customHeight="false" outlineLevel="0" collapsed="false">
      <c r="A8" s="4" t="s">
        <v>29</v>
      </c>
      <c r="B8" s="13" t="n">
        <v>90.0614754098361</v>
      </c>
      <c r="C8" s="13" t="n">
        <v>2.53870673952641</v>
      </c>
      <c r="D8" s="13" t="n">
        <v>1.68036145264117</v>
      </c>
    </row>
    <row r="9" customFormat="false" ht="15" hidden="false" customHeight="false" outlineLevel="0" collapsed="false">
      <c r="A9" s="4" t="s">
        <v>30</v>
      </c>
      <c r="B9" s="13" t="n">
        <v>61.8436073059361</v>
      </c>
      <c r="C9" s="13" t="n">
        <v>20.7191780821918</v>
      </c>
      <c r="D9" s="13" t="n">
        <v>0.399034246575343</v>
      </c>
    </row>
    <row r="10" customFormat="false" ht="15" hidden="false" customHeight="false" outlineLevel="0" collapsed="false">
      <c r="A10" s="4" t="s">
        <v>31</v>
      </c>
      <c r="B10" s="13" t="n">
        <v>37.134703196347</v>
      </c>
      <c r="C10" s="13" t="n">
        <v>35.2511415525114</v>
      </c>
      <c r="D10" s="13" t="n">
        <v>-0.113630136986301</v>
      </c>
    </row>
    <row r="11" customFormat="false" ht="15" hidden="false" customHeight="false" outlineLevel="0" collapsed="false">
      <c r="A11" s="4" t="s">
        <v>32</v>
      </c>
      <c r="B11" s="13" t="n">
        <v>65.3595890410959</v>
      </c>
      <c r="C11" s="13" t="n">
        <v>18.9497716894977</v>
      </c>
      <c r="D11" s="13" t="n">
        <v>0.0799526255707763</v>
      </c>
    </row>
    <row r="12" customFormat="false" ht="15" hidden="false" customHeight="false" outlineLevel="0" collapsed="false">
      <c r="A12" s="4" t="s">
        <v>33</v>
      </c>
      <c r="B12" s="13" t="n">
        <v>64.6174863387978</v>
      </c>
      <c r="C12" s="13" t="n">
        <v>20.457650273224</v>
      </c>
      <c r="D12" s="13" t="n">
        <v>0.111849954462659</v>
      </c>
    </row>
    <row r="13" customFormat="false" ht="15" hidden="false" customHeight="false" outlineLevel="0" collapsed="false">
      <c r="A13" s="4" t="s">
        <v>34</v>
      </c>
      <c r="B13" s="13" t="n">
        <v>59.2979452054795</v>
      </c>
      <c r="C13" s="13" t="n">
        <v>30.8961187214612</v>
      </c>
      <c r="D13" s="13" t="n">
        <v>-0.0505445205479452</v>
      </c>
    </row>
    <row r="14" customFormat="false" ht="15" hidden="false" customHeight="false" outlineLevel="0" collapsed="false">
      <c r="A14" s="4" t="s">
        <v>35</v>
      </c>
      <c r="B14" s="13" t="n">
        <v>60.7477168949772</v>
      </c>
      <c r="C14" s="13" t="n">
        <v>30.0970319634703</v>
      </c>
      <c r="D14" s="13" t="n">
        <v>0.31359303652968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2026-07-27T07:47:09Z</dcterms:created>
  <dc:creator>openpyxl</dc:creator>
  <dc:description/>
  <dc:language>en-US</dc:language>
  <cp:lastModifiedBy/>
  <dcterms:modified xsi:type="dcterms:W3CDTF">2026-07-27T07:47:13Z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