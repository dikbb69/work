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目次" sheetId="1" state="visible" r:id="rId3"/>
    <sheet name="h1_床コマ数" sheetId="2" state="visible" r:id="rId4"/>
    <sheet name="h2_ダックカーブ" sheetId="3" state="visible" r:id="rId5"/>
    <sheet name="h3_バックテスト" sheetId="4" state="visible" r:id="rId6"/>
    <sheet name="h4_TB4hスプレッド" sheetId="5" state="visible" r:id="rId7"/>
    <sheet name="h5_分断の方向転換" sheetId="6" state="visible" r:id="rId8"/>
    <sheet name="h6_風力帯域分解" sheetId="7" state="visible" r:id="rId9"/>
    <sheet name="h7_分位点回帰" sheetId="8" state="visible" r:id="rId10"/>
    <sheet name="h8_需給内訳_昼間"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<sst xmlns="http://schemas.openxmlformats.org/spreadsheetml/2006/main" count="163" uniqueCount="104">
  <si>
    <r>
      <rPr>
        <b val="true"/>
        <sz val="14"/>
        <color rgb="FF1F3864"/>
        <rFont val="Noto Sans CJK SC"/>
        <family val="2"/>
      </rPr>
      <t xml:space="preserve">北海道 簡易分析（</t>
    </r>
    <r>
      <rPr>
        <b val="true"/>
        <sz val="14"/>
        <color rgb="FF1F3864"/>
        <rFont val="Yu Gothic"/>
        <family val="0"/>
        <charset val="1"/>
      </rPr>
      <t xml:space="preserve">JEPX</t>
    </r>
    <r>
      <rPr>
        <b val="true"/>
        <sz val="14"/>
        <color rgb="FF1F3864"/>
        <rFont val="Noto Sans CJK SC"/>
        <family val="2"/>
      </rPr>
      <t xml:space="preserve">エリアプライスのみで実施可能な範囲）</t>
    </r>
  </si>
  <si>
    <r>
      <rPr>
        <sz val="9"/>
        <color rgb="FF68758A"/>
        <rFont val="Noto Sans CJK SC"/>
        <family val="2"/>
      </rPr>
      <t xml:space="preserve">目的</t>
    </r>
    <r>
      <rPr>
        <sz val="9"/>
        <color rgb="FF68758A"/>
        <rFont val="Yu Gothic"/>
        <family val="0"/>
        <charset val="1"/>
      </rPr>
      <t xml:space="preserve">:</t>
    </r>
    <r>
      <rPr>
        <sz val="9"/>
        <color rgb="FF68758A"/>
        <rFont val="Noto Sans CJK SC"/>
        <family val="2"/>
      </rPr>
      <t xml:space="preserve">「北海道でも面白い結果が得られるのか」への回答材料。九州と同一仕様のパイプラインをエリアプライス列の切替のみで適用。</t>
    </r>
  </si>
  <si>
    <r>
      <rPr>
        <sz val="9"/>
        <color rgb="FF68758A"/>
        <rFont val="Noto Sans CJK SC"/>
        <family val="2"/>
      </rPr>
      <t xml:space="preserve">生成</t>
    </r>
    <r>
      <rPr>
        <sz val="9"/>
        <color rgb="FF68758A"/>
        <rFont val="Yu Gothic"/>
        <family val="0"/>
        <charset val="1"/>
      </rPr>
      <t xml:space="preserve">: thesis/analysis/10_hokkaido_quick_xlsx.py</t>
    </r>
    <r>
      <rPr>
        <sz val="9"/>
        <color rgb="FF68758A"/>
        <rFont val="Noto Sans CJK SC"/>
        <family val="2"/>
      </rPr>
      <t xml:space="preserve">。需給実績（</t>
    </r>
    <r>
      <rPr>
        <sz val="9"/>
        <color rgb="FF68758A"/>
        <rFont val="Yu Gothic"/>
        <family val="0"/>
        <charset val="1"/>
      </rPr>
      <t xml:space="preserve">2026-07-27</t>
    </r>
    <r>
      <rPr>
        <sz val="9"/>
        <color rgb="FF68758A"/>
        <rFont val="Noto Sans CJK SC"/>
        <family val="2"/>
      </rPr>
      <t xml:space="preserve">取得・</t>
    </r>
    <r>
      <rPr>
        <sz val="9"/>
        <color rgb="FF68758A"/>
        <rFont val="Yu Gothic"/>
        <family val="0"/>
        <charset val="1"/>
      </rPr>
      <t xml:space="preserve">11_build_area_panels.py</t>
    </r>
    <r>
      <rPr>
        <sz val="9"/>
        <color rgb="FF68758A"/>
        <rFont val="Noto Sans CJK SC"/>
        <family val="2"/>
      </rPr>
      <t xml:space="preserve">で検証）を反映した完全版。</t>
    </r>
  </si>
  <si>
    <t xml:space="preserve">シート</t>
  </si>
  <si>
    <t xml:space="preserve">内容</t>
  </si>
  <si>
    <t xml:space="preserve">キーメッセージ</t>
  </si>
  <si>
    <r>
      <rPr>
        <sz val="10"/>
        <rFont val="Yu Gothic"/>
        <family val="0"/>
        <charset val="1"/>
      </rPr>
      <t xml:space="preserve">h1_</t>
    </r>
    <r>
      <rPr>
        <sz val="10"/>
        <rFont val="Noto Sans CJK SC"/>
        <family val="2"/>
      </rPr>
      <t xml:space="preserve">床コマ数</t>
    </r>
  </si>
  <si>
    <r>
      <rPr>
        <sz val="10"/>
        <rFont val="Yu Gothic"/>
        <family val="0"/>
        <charset val="1"/>
      </rPr>
      <t xml:space="preserve">0.01</t>
    </r>
    <r>
      <rPr>
        <sz val="10"/>
        <rFont val="Noto Sans CJK SC"/>
        <family val="2"/>
      </rPr>
      <t xml:space="preserve">円コマ数（北海道 </t>
    </r>
    <r>
      <rPr>
        <sz val="10"/>
        <rFont val="Yu Gothic"/>
        <family val="0"/>
        <charset val="1"/>
      </rPr>
      <t xml:space="preserve">vs </t>
    </r>
    <r>
      <rPr>
        <sz val="10"/>
        <rFont val="Noto Sans CJK SC"/>
        <family val="2"/>
      </rPr>
      <t xml:space="preserve">九州）</t>
    </r>
  </si>
  <si>
    <r>
      <rPr>
        <sz val="10"/>
        <rFont val="Yu Gothic"/>
        <family val="0"/>
        <charset val="1"/>
      </rPr>
      <t xml:space="preserve">FY2020</t>
    </r>
    <r>
      <rPr>
        <sz val="10"/>
        <rFont val="Noto Sans CJK SC"/>
        <family val="2"/>
      </rPr>
      <t xml:space="preserve">初出現→</t>
    </r>
    <r>
      <rPr>
        <sz val="10"/>
        <rFont val="Yu Gothic"/>
        <family val="0"/>
        <charset val="1"/>
      </rPr>
      <t xml:space="preserve">FY2022</t>
    </r>
    <r>
      <rPr>
        <sz val="10"/>
        <rFont val="Noto Sans CJK SC"/>
        <family val="2"/>
      </rPr>
      <t xml:space="preserve">以降常態化。九州の約半分＝「これから」の初期段階</t>
    </r>
  </si>
  <si>
    <r>
      <rPr>
        <sz val="10"/>
        <rFont val="Yu Gothic"/>
        <family val="0"/>
        <charset val="1"/>
      </rPr>
      <t xml:space="preserve">h2_</t>
    </r>
    <r>
      <rPr>
        <sz val="10"/>
        <rFont val="Noto Sans CJK SC"/>
        <family val="2"/>
      </rPr>
      <t xml:space="preserve">ダックカーブ</t>
    </r>
  </si>
  <si>
    <t xml:space="preserve">時間帯別平均価格カーブ（北海道）</t>
  </si>
  <si>
    <r>
      <rPr>
        <sz val="10"/>
        <rFont val="Noto Sans CJK SC"/>
        <family val="2"/>
      </rPr>
      <t xml:space="preserve">昼の谷が浅く朝夕ピークが残る（九州と形状が異なる）。昼の沈みは</t>
    </r>
    <r>
      <rPr>
        <sz val="10"/>
        <rFont val="Yu Gothic"/>
        <family val="0"/>
        <charset val="1"/>
      </rPr>
      <t xml:space="preserve">FY2023</t>
    </r>
    <r>
      <rPr>
        <sz val="10"/>
        <rFont val="Noto Sans CJK SC"/>
        <family val="2"/>
      </rPr>
      <t xml:space="preserve">以降に出現</t>
    </r>
  </si>
  <si>
    <r>
      <rPr>
        <sz val="10"/>
        <rFont val="Yu Gothic"/>
        <family val="0"/>
        <charset val="1"/>
      </rPr>
      <t xml:space="preserve">h3_</t>
    </r>
    <r>
      <rPr>
        <sz val="10"/>
        <rFont val="Noto Sans CJK SC"/>
        <family val="2"/>
      </rPr>
      <t xml:space="preserve">バックテスト</t>
    </r>
  </si>
  <si>
    <t xml:space="preserve">裁定価値（完全予見・前日価格）</t>
  </si>
  <si>
    <r>
      <rPr>
        <sz val="10"/>
        <rFont val="Noto Sans CJK SC"/>
        <family val="2"/>
      </rPr>
      <t xml:space="preserve">直近</t>
    </r>
    <r>
      <rPr>
        <sz val="10"/>
        <rFont val="Yu Gothic"/>
        <family val="0"/>
        <charset val="1"/>
      </rPr>
      <t xml:space="preserve">0.96</t>
    </r>
    <r>
      <rPr>
        <sz val="10"/>
        <rFont val="Noto Sans CJK SC"/>
        <family val="2"/>
      </rPr>
      <t xml:space="preserve">〜</t>
    </r>
    <r>
      <rPr>
        <sz val="10"/>
        <rFont val="Yu Gothic"/>
        <family val="0"/>
        <charset val="1"/>
      </rPr>
      <t xml:space="preserve">1.15</t>
    </r>
    <r>
      <rPr>
        <sz val="10"/>
        <rFont val="Noto Sans CJK SC"/>
        <family val="2"/>
      </rPr>
      <t xml:space="preserve">万円</t>
    </r>
    <r>
      <rPr>
        <sz val="10"/>
        <rFont val="Yu Gothic"/>
        <family val="0"/>
        <charset val="1"/>
      </rPr>
      <t xml:space="preserve">/kW-</t>
    </r>
    <r>
      <rPr>
        <sz val="10"/>
        <rFont val="Noto Sans CJK SC"/>
        <family val="2"/>
      </rPr>
      <t xml:space="preserve">年で九州と同水準。ただし</t>
    </r>
    <r>
      <rPr>
        <sz val="10"/>
        <rFont val="Yu Gothic"/>
        <family val="0"/>
        <charset val="1"/>
      </rPr>
      <t xml:space="preserve">a</t>
    </r>
    <r>
      <rPr>
        <sz val="10"/>
        <rFont val="Noto Sans CJK SC"/>
        <family val="2"/>
      </rPr>
      <t xml:space="preserve">捕捉率</t>
    </r>
    <r>
      <rPr>
        <sz val="10"/>
        <rFont val="Yu Gothic"/>
        <family val="0"/>
        <charset val="1"/>
      </rPr>
      <t xml:space="preserve">66</t>
    </r>
    <r>
      <rPr>
        <sz val="10"/>
        <rFont val="Noto Sans CJK SC"/>
        <family val="2"/>
      </rPr>
      <t xml:space="preserve">〜</t>
    </r>
    <r>
      <rPr>
        <sz val="10"/>
        <rFont val="Yu Gothic"/>
        <family val="0"/>
        <charset val="1"/>
      </rPr>
      <t xml:space="preserve">69%</t>
    </r>
    <r>
      <rPr>
        <sz val="10"/>
        <rFont val="Noto Sans CJK SC"/>
        <family val="2"/>
      </rPr>
      <t xml:space="preserve">は九州（</t>
    </r>
    <r>
      <rPr>
        <sz val="10"/>
        <rFont val="Yu Gothic"/>
        <family val="0"/>
        <charset val="1"/>
      </rPr>
      <t xml:space="preserve">77</t>
    </r>
    <r>
      <rPr>
        <sz val="10"/>
        <rFont val="Noto Sans CJK SC"/>
        <family val="2"/>
      </rPr>
      <t xml:space="preserve">〜</t>
    </r>
    <r>
      <rPr>
        <sz val="10"/>
        <rFont val="Yu Gothic"/>
        <family val="0"/>
        <charset val="1"/>
      </rPr>
      <t xml:space="preserve">80%</t>
    </r>
    <r>
      <rPr>
        <sz val="10"/>
        <rFont val="Noto Sans CJK SC"/>
        <family val="2"/>
      </rPr>
      <t xml:space="preserve">）より低い＝形状の予測可能性が低い</t>
    </r>
  </si>
  <si>
    <r>
      <rPr>
        <sz val="10"/>
        <rFont val="Yu Gothic"/>
        <family val="0"/>
        <charset val="1"/>
      </rPr>
      <t xml:space="preserve">h4_TB4h</t>
    </r>
    <r>
      <rPr>
        <sz val="10"/>
        <rFont val="Noto Sans CJK SC"/>
        <family val="2"/>
      </rPr>
      <t xml:space="preserve">スプレッド</t>
    </r>
  </si>
  <si>
    <t xml:space="preserve">スプレッドの年度推移</t>
  </si>
  <si>
    <r>
      <rPr>
        <sz val="10"/>
        <rFont val="Yu Gothic"/>
        <family val="0"/>
        <charset val="1"/>
      </rPr>
      <t xml:space="preserve">FY2016</t>
    </r>
    <r>
      <rPr>
        <sz val="10"/>
        <rFont val="Noto Sans CJK SC"/>
        <family val="2"/>
      </rPr>
      <t xml:space="preserve">から高水準（冬季逼迫型）→</t>
    </r>
    <r>
      <rPr>
        <sz val="10"/>
        <rFont val="Yu Gothic"/>
        <family val="0"/>
        <charset val="1"/>
      </rPr>
      <t xml:space="preserve">FY2020</t>
    </r>
    <r>
      <rPr>
        <sz val="10"/>
        <rFont val="Noto Sans CJK SC"/>
        <family val="2"/>
      </rPr>
      <t xml:space="preserve">底→再拡大。九州型の太陽光単調拡大と経路が異なる</t>
    </r>
  </si>
  <si>
    <r>
      <rPr>
        <sz val="10"/>
        <rFont val="Yu Gothic"/>
        <family val="0"/>
        <charset val="1"/>
      </rPr>
      <t xml:space="preserve">h5_</t>
    </r>
    <r>
      <rPr>
        <sz val="10"/>
        <rFont val="Noto Sans CJK SC"/>
        <family val="2"/>
      </rPr>
      <t xml:space="preserve">分断の方向転換</t>
    </r>
  </si>
  <si>
    <t xml:space="preserve">市場分断の方向と値差</t>
  </si>
  <si>
    <r>
      <rPr>
        <sz val="10"/>
        <rFont val="Noto Sans CJK SC"/>
        <family val="2"/>
      </rPr>
      <t xml:space="preserve">高値分断</t>
    </r>
    <r>
      <rPr>
        <sz val="10"/>
        <rFont val="Yu Gothic"/>
        <family val="0"/>
        <charset val="1"/>
      </rPr>
      <t xml:space="preserve">87</t>
    </r>
    <r>
      <rPr>
        <sz val="10"/>
        <rFont val="Noto Sans CJK SC"/>
        <family val="2"/>
      </rPr>
      <t xml:space="preserve">〜</t>
    </r>
    <r>
      <rPr>
        <sz val="10"/>
        <rFont val="Yu Gothic"/>
        <family val="0"/>
        <charset val="1"/>
      </rPr>
      <t xml:space="preserve">92%→</t>
    </r>
    <r>
      <rPr>
        <sz val="10"/>
        <rFont val="Noto Sans CJK SC"/>
        <family val="2"/>
      </rPr>
      <t xml:space="preserve">約</t>
    </r>
    <r>
      <rPr>
        <sz val="10"/>
        <rFont val="Yu Gothic"/>
        <family val="0"/>
        <charset val="1"/>
      </rPr>
      <t xml:space="preserve">60%</t>
    </r>
    <r>
      <rPr>
        <sz val="10"/>
        <rFont val="Noto Sans CJK SC"/>
        <family val="2"/>
      </rPr>
      <t xml:space="preserve">、安値分断</t>
    </r>
    <r>
      <rPr>
        <sz val="10"/>
        <rFont val="Yu Gothic"/>
        <family val="0"/>
        <charset val="1"/>
      </rPr>
      <t xml:space="preserve">1</t>
    </r>
    <r>
      <rPr>
        <sz val="10"/>
        <rFont val="Noto Sans CJK SC"/>
        <family val="2"/>
      </rPr>
      <t xml:space="preserve">〜</t>
    </r>
    <r>
      <rPr>
        <sz val="10"/>
        <rFont val="Yu Gothic"/>
        <family val="0"/>
        <charset val="1"/>
      </rPr>
      <t xml:space="preserve">5%→30%</t>
    </r>
    <r>
      <rPr>
        <sz val="10"/>
        <rFont val="Noto Sans CJK SC"/>
        <family val="2"/>
      </rPr>
      <t xml:space="preserve">前後。余剰閉じ込め型への転換が既に進行</t>
    </r>
  </si>
  <si>
    <r>
      <rPr>
        <sz val="10"/>
        <rFont val="Yu Gothic"/>
        <family val="0"/>
        <charset val="1"/>
      </rPr>
      <t xml:space="preserve">h6_</t>
    </r>
    <r>
      <rPr>
        <sz val="10"/>
        <rFont val="Noto Sans CJK SC"/>
        <family val="2"/>
      </rPr>
      <t xml:space="preserve">風力帯域分解</t>
    </r>
  </si>
  <si>
    <t xml:space="preserve">風力変動の帯域分解＋エネルギーシェア実測</t>
  </si>
  <si>
    <r>
      <rPr>
        <sz val="10"/>
        <rFont val="Noto Sans CJK SC"/>
        <family val="2"/>
      </rPr>
      <t xml:space="preserve">北海道でも数日帯域が支配的（九州の実測が再現）。風力シェア実測は</t>
    </r>
    <r>
      <rPr>
        <sz val="10"/>
        <rFont val="Yu Gothic"/>
        <family val="0"/>
        <charset val="1"/>
      </rPr>
      <t xml:space="preserve">FY2024-25</t>
    </r>
    <r>
      <rPr>
        <sz val="10"/>
        <rFont val="Noto Sans CJK SC"/>
        <family val="2"/>
      </rPr>
      <t xml:space="preserve">で</t>
    </r>
    <r>
      <rPr>
        <sz val="10"/>
        <rFont val="Yu Gothic"/>
        <family val="0"/>
        <charset val="1"/>
      </rPr>
      <t xml:space="preserve">10%</t>
    </r>
    <r>
      <rPr>
        <sz val="10"/>
        <rFont val="Noto Sans CJK SC"/>
        <family val="2"/>
      </rPr>
      <t xml:space="preserve">超＝欧米の検出水準を既に超過</t>
    </r>
  </si>
  <si>
    <r>
      <rPr>
        <sz val="10"/>
        <rFont val="Yu Gothic"/>
        <family val="0"/>
        <charset val="1"/>
      </rPr>
      <t xml:space="preserve">h7_</t>
    </r>
    <r>
      <rPr>
        <sz val="10"/>
        <rFont val="Noto Sans CJK SC"/>
        <family val="2"/>
      </rPr>
      <t xml:space="preserve">分位点回帰</t>
    </r>
  </si>
  <si>
    <r>
      <rPr>
        <sz val="10"/>
        <rFont val="Noto Sans CJK SC"/>
        <family val="2"/>
      </rPr>
      <t xml:space="preserve">風力</t>
    </r>
    <r>
      <rPr>
        <sz val="10"/>
        <rFont val="Yu Gothic"/>
        <family val="0"/>
        <charset val="1"/>
      </rPr>
      <t xml:space="preserve">×</t>
    </r>
    <r>
      <rPr>
        <sz val="10"/>
        <rFont val="Noto Sans CJK SC"/>
        <family val="2"/>
      </rPr>
      <t xml:space="preserve">価格の分位点回帰（</t>
    </r>
    <r>
      <rPr>
        <sz val="10"/>
        <rFont val="Yu Gothic"/>
        <family val="0"/>
        <charset val="1"/>
      </rPr>
      <t xml:space="preserve">S&amp;F</t>
    </r>
    <r>
      <rPr>
        <sz val="10"/>
        <rFont val="Noto Sans CJK SC"/>
        <family val="2"/>
      </rPr>
      <t xml:space="preserve">再現・更新）</t>
    </r>
  </si>
  <si>
    <r>
      <rPr>
        <sz val="10"/>
        <rFont val="Noto Sans CJK SC"/>
        <family val="2"/>
      </rPr>
      <t xml:space="preserve">風力のメリットオーダー効果を</t>
    </r>
    <r>
      <rPr>
        <sz val="10"/>
        <rFont val="Yu Gothic"/>
        <family val="0"/>
        <charset val="1"/>
      </rPr>
      <t xml:space="preserve">FY2016-19</t>
    </r>
    <r>
      <rPr>
        <sz val="10"/>
        <rFont val="Noto Sans CJK SC"/>
        <family val="2"/>
      </rPr>
      <t xml:space="preserve">（先行研究期間）と</t>
    </r>
    <r>
      <rPr>
        <sz val="10"/>
        <rFont val="Yu Gothic"/>
        <family val="0"/>
        <charset val="1"/>
      </rPr>
      <t xml:space="preserve">FY2023-25</t>
    </r>
    <r>
      <rPr>
        <sz val="10"/>
        <rFont val="Noto Sans CJK SC"/>
        <family val="2"/>
      </rPr>
      <t xml:space="preserve">（倍増後）で比較</t>
    </r>
  </si>
  <si>
    <r>
      <rPr>
        <sz val="10"/>
        <rFont val="Yu Gothic"/>
        <family val="0"/>
        <charset val="1"/>
      </rPr>
      <t xml:space="preserve">h8_</t>
    </r>
    <r>
      <rPr>
        <sz val="10"/>
        <rFont val="Noto Sans CJK SC"/>
        <family val="2"/>
      </rPr>
      <t xml:space="preserve">需給内訳</t>
    </r>
    <r>
      <rPr>
        <sz val="10"/>
        <rFont val="Yu Gothic"/>
        <family val="0"/>
        <charset val="1"/>
      </rPr>
      <t xml:space="preserve">_</t>
    </r>
    <r>
      <rPr>
        <sz val="10"/>
        <rFont val="Noto Sans CJK SC"/>
        <family val="2"/>
      </rPr>
      <t xml:space="preserve">昼間</t>
    </r>
  </si>
  <si>
    <t xml:space="preserve">昼間の需要・供給の積み上げ内訳</t>
  </si>
  <si>
    <r>
      <rPr>
        <sz val="10"/>
        <rFont val="Noto Sans CJK SC"/>
        <family val="2"/>
      </rPr>
      <t xml:space="preserve">九州版と同一定義の北海道版（泊</t>
    </r>
    <r>
      <rPr>
        <sz val="10"/>
        <rFont val="Yu Gothic"/>
        <family val="0"/>
        <charset val="1"/>
      </rPr>
      <t xml:space="preserve">=0</t>
    </r>
    <r>
      <rPr>
        <sz val="10"/>
        <rFont val="Noto Sans CJK SC"/>
        <family val="2"/>
      </rPr>
      <t xml:space="preserve">・風力と火力の構成変化）</t>
    </r>
  </si>
  <si>
    <r>
      <rPr>
        <b val="true"/>
        <sz val="13"/>
        <color rgb="FF1F3864"/>
        <rFont val="Yu Gothic"/>
        <family val="0"/>
        <charset val="1"/>
      </rPr>
      <t xml:space="preserve">h1 </t>
    </r>
    <r>
      <rPr>
        <b val="true"/>
        <sz val="13"/>
        <color rgb="FF1F3864"/>
        <rFont val="Noto Sans CJK SC"/>
        <family val="2"/>
      </rPr>
      <t xml:space="preserve">下限価格</t>
    </r>
    <r>
      <rPr>
        <b val="true"/>
        <sz val="13"/>
        <color rgb="FF1F3864"/>
        <rFont val="Yu Gothic"/>
        <family val="0"/>
        <charset val="1"/>
      </rPr>
      <t xml:space="preserve">0.01</t>
    </r>
    <r>
      <rPr>
        <b val="true"/>
        <sz val="13"/>
        <color rgb="FF1F3864"/>
        <rFont val="Noto Sans CJK SC"/>
        <family val="2"/>
      </rPr>
      <t xml:space="preserve">円への張り付きと出力制御：北海道は「これから」の初期段階</t>
    </r>
  </si>
  <si>
    <r>
      <rPr>
        <sz val="9"/>
        <color rgb="FF68758A"/>
        <rFont val="Noto Sans CJK SC"/>
        <family val="2"/>
      </rPr>
      <t xml:space="preserve">北海道は</t>
    </r>
    <r>
      <rPr>
        <sz val="9"/>
        <color rgb="FF68758A"/>
        <rFont val="Yu Gothic"/>
        <family val="0"/>
        <charset val="1"/>
      </rPr>
      <t xml:space="preserve">FY2020</t>
    </r>
    <r>
      <rPr>
        <sz val="9"/>
        <color rgb="FF68758A"/>
        <rFont val="Noto Sans CJK SC"/>
        <family val="2"/>
      </rPr>
      <t xml:space="preserve">に床コマ初出現・出力制御は</t>
    </r>
    <r>
      <rPr>
        <sz val="9"/>
        <color rgb="FF68758A"/>
        <rFont val="Yu Gothic"/>
        <family val="0"/>
        <charset val="1"/>
      </rPr>
      <t xml:space="preserve">FY2022</t>
    </r>
    <r>
      <rPr>
        <sz val="9"/>
        <color rgb="FF68758A"/>
        <rFont val="Noto Sans CJK SC"/>
        <family val="2"/>
      </rPr>
      <t xml:space="preserve">（</t>
    </r>
    <r>
      <rPr>
        <sz val="9"/>
        <color rgb="FF68758A"/>
        <rFont val="Yu Gothic"/>
        <family val="0"/>
        <charset val="1"/>
      </rPr>
      <t xml:space="preserve">2022</t>
    </r>
    <r>
      <rPr>
        <sz val="9"/>
        <color rgb="FF68758A"/>
        <rFont val="Noto Sans CJK SC"/>
        <family val="2"/>
      </rPr>
      <t xml:space="preserve">年</t>
    </r>
    <r>
      <rPr>
        <sz val="9"/>
        <color rgb="FF68758A"/>
        <rFont val="Yu Gothic"/>
        <family val="0"/>
        <charset val="1"/>
      </rPr>
      <t xml:space="preserve">5</t>
    </r>
    <r>
      <rPr>
        <sz val="9"/>
        <color rgb="FF68758A"/>
        <rFont val="Noto Sans CJK SC"/>
        <family val="2"/>
      </rPr>
      <t xml:space="preserve">月</t>
    </r>
    <r>
      <rPr>
        <sz val="9"/>
        <color rgb="FF68758A"/>
        <rFont val="Yu Gothic"/>
        <family val="0"/>
        <charset val="1"/>
      </rPr>
      <t xml:space="preserve">8</t>
    </r>
    <r>
      <rPr>
        <sz val="9"/>
        <color rgb="FF68758A"/>
        <rFont val="Noto Sans CJK SC"/>
        <family val="2"/>
      </rPr>
      <t xml:space="preserve">日）開始。</t>
    </r>
    <r>
      <rPr>
        <sz val="9"/>
        <color rgb="FF68758A"/>
        <rFont val="Yu Gothic"/>
        <family val="0"/>
        <charset val="1"/>
      </rPr>
      <t xml:space="preserve">FY2025</t>
    </r>
    <r>
      <rPr>
        <sz val="9"/>
        <color rgb="FF68758A"/>
        <rFont val="Noto Sans CJK SC"/>
        <family val="2"/>
      </rPr>
      <t xml:space="preserve">の床コマ</t>
    </r>
    <r>
      <rPr>
        <sz val="9"/>
        <color rgb="FF68758A"/>
        <rFont val="Yu Gothic"/>
        <family val="0"/>
        <charset val="1"/>
      </rPr>
      <t xml:space="preserve">473</t>
    </r>
    <r>
      <rPr>
        <sz val="9"/>
        <color rgb="FF68758A"/>
        <rFont val="Noto Sans CJK SC"/>
        <family val="2"/>
      </rPr>
      <t xml:space="preserve">は九州の約半分。出力制御は需給実績（太陽光・風力抑制量</t>
    </r>
    <r>
      <rPr>
        <sz val="9"/>
        <color rgb="FF68758A"/>
        <rFont val="Yu Gothic"/>
        <family val="0"/>
        <charset val="1"/>
      </rPr>
      <t xml:space="preserve">&gt;0</t>
    </r>
    <r>
      <rPr>
        <sz val="9"/>
        <color rgb="FF68758A"/>
        <rFont val="Noto Sans CJK SC"/>
        <family val="2"/>
      </rPr>
      <t xml:space="preserve">の日数）より。再現</t>
    </r>
    <r>
      <rPr>
        <sz val="9"/>
        <color rgb="FF68758A"/>
        <rFont val="Yu Gothic"/>
        <family val="0"/>
        <charset val="1"/>
      </rPr>
      <t xml:space="preserve">: analysis/10</t>
    </r>
    <r>
      <rPr>
        <sz val="9"/>
        <color rgb="FF68758A"/>
        <rFont val="Noto Sans CJK SC"/>
        <family val="2"/>
      </rPr>
      <t xml:space="preserve">・</t>
    </r>
    <r>
      <rPr>
        <sz val="9"/>
        <color rgb="FF68758A"/>
        <rFont val="Yu Gothic"/>
        <family val="0"/>
        <charset val="1"/>
      </rPr>
      <t xml:space="preserve">11</t>
    </r>
  </si>
  <si>
    <t xml:space="preserve">年度</t>
  </si>
  <si>
    <r>
      <rPr>
        <b val="true"/>
        <sz val="10"/>
        <color rgb="FFFFFFFF"/>
        <rFont val="Noto Sans CJK SC"/>
        <family val="2"/>
      </rPr>
      <t xml:space="preserve">北海道 </t>
    </r>
    <r>
      <rPr>
        <b val="true"/>
        <sz val="10"/>
        <color rgb="FFFFFFFF"/>
        <rFont val="Yu Gothic"/>
        <family val="0"/>
        <charset val="1"/>
      </rPr>
      <t xml:space="preserve">0.01</t>
    </r>
    <r>
      <rPr>
        <b val="true"/>
        <sz val="10"/>
        <color rgb="FFFFFFFF"/>
        <rFont val="Noto Sans CJK SC"/>
        <family val="2"/>
      </rPr>
      <t xml:space="preserve">円コマ数</t>
    </r>
  </si>
  <si>
    <t xml:space="preserve">出力制御実施日数</t>
  </si>
  <si>
    <r>
      <rPr>
        <b val="true"/>
        <sz val="10"/>
        <color rgb="FFFFFFFF"/>
        <rFont val="Noto Sans CJK SC"/>
        <family val="2"/>
      </rPr>
      <t xml:space="preserve">出力制御量（</t>
    </r>
    <r>
      <rPr>
        <b val="true"/>
        <sz val="10"/>
        <color rgb="FFFFFFFF"/>
        <rFont val="Yu Gothic"/>
        <family val="0"/>
        <charset val="1"/>
      </rPr>
      <t xml:space="preserve">GWh</t>
    </r>
    <r>
      <rPr>
        <b val="true"/>
        <sz val="10"/>
        <color rgb="FFFFFFFF"/>
        <rFont val="Noto Sans CJK SC"/>
        <family val="2"/>
      </rPr>
      <t xml:space="preserve">）</t>
    </r>
  </si>
  <si>
    <r>
      <rPr>
        <b val="true"/>
        <sz val="10"/>
        <color rgb="FFFFFFFF"/>
        <rFont val="Noto Sans CJK SC"/>
        <family val="2"/>
      </rPr>
      <t xml:space="preserve">（参考）九州 </t>
    </r>
    <r>
      <rPr>
        <b val="true"/>
        <sz val="10"/>
        <color rgb="FFFFFFFF"/>
        <rFont val="Yu Gothic"/>
        <family val="0"/>
        <charset val="1"/>
      </rPr>
      <t xml:space="preserve">0.01</t>
    </r>
    <r>
      <rPr>
        <b val="true"/>
        <sz val="10"/>
        <color rgb="FFFFFFFF"/>
        <rFont val="Noto Sans CJK SC"/>
        <family val="2"/>
      </rPr>
      <t xml:space="preserve">円コマ数</t>
    </r>
  </si>
  <si>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</si>
  <si>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</si>
  <si>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</si>
  <si>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</si>
  <si>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</si>
  <si>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</si>
  <si>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</si>
  <si>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</si>
  <si>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</si>
  <si>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</si>
  <si>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r>
      <rPr>
        <b val="true"/>
        <sz val="13"/>
        <color rgb="FF1F3864"/>
        <rFont val="Yu Gothic"/>
        <family val="0"/>
        <charset val="1"/>
      </rPr>
      <t xml:space="preserve">h2 </t>
    </r>
    <r>
      <rPr>
        <b val="true"/>
        <sz val="13"/>
        <color rgb="FF1F3864"/>
        <rFont val="Noto Sans CJK SC"/>
        <family val="2"/>
      </rPr>
      <t xml:space="preserve">時間帯別平均価格カーブ（北海道エリアプライス、円</t>
    </r>
    <r>
      <rPr>
        <b val="true"/>
        <sz val="13"/>
        <color rgb="FF1F3864"/>
        <rFont val="Yu Gothic"/>
        <family val="0"/>
        <charset val="1"/>
      </rPr>
      <t xml:space="preserve">/kWh</t>
    </r>
    <r>
      <rPr>
        <b val="true"/>
        <sz val="13"/>
        <color rgb="FF1F3864"/>
        <rFont val="Noto Sans CJK SC"/>
        <family val="2"/>
      </rPr>
      <t xml:space="preserve">）</t>
    </r>
  </si>
  <si>
    <r>
      <rPr>
        <sz val="9"/>
        <color rgb="FF68758A"/>
        <rFont val="Noto Sans CJK SC"/>
        <family val="2"/>
      </rPr>
      <t xml:space="preserve">九州（太陽光の深い昼間陥没）と異なり、北海道は昼の谷が浅く夕方・朝のピークが残る形状。</t>
    </r>
    <r>
      <rPr>
        <sz val="9"/>
        <color rgb="FF68758A"/>
        <rFont val="Yu Gothic"/>
        <family val="0"/>
        <charset val="1"/>
      </rPr>
      <t xml:space="preserve">FY2023</t>
    </r>
    <r>
      <rPr>
        <sz val="9"/>
        <color rgb="FF68758A"/>
        <rFont val="Noto Sans CJK SC"/>
        <family val="2"/>
      </rPr>
      <t xml:space="preserve">以降に昼の沈み込みが出始めた段階。</t>
    </r>
    <r>
      <rPr>
        <sz val="9"/>
        <color rgb="FF68758A"/>
        <rFont val="Yu Gothic"/>
        <family val="0"/>
        <charset val="1"/>
      </rPr>
      <t xml:space="preserve">FY2022</t>
    </r>
    <r>
      <rPr>
        <sz val="9"/>
        <color rgb="FF68758A"/>
        <rFont val="Noto Sans CJK SC"/>
        <family val="2"/>
      </rPr>
      <t xml:space="preserve">（燃料危機）は表示対象外。再現</t>
    </r>
    <r>
      <rPr>
        <sz val="9"/>
        <color rgb="FF68758A"/>
        <rFont val="Yu Gothic"/>
        <family val="0"/>
        <charset val="1"/>
      </rPr>
      <t xml:space="preserve">: analysis/10</t>
    </r>
  </si>
  <si>
    <t xml:space="preserve">時刻</t>
  </si>
  <si>
    <r>
      <rPr>
        <b val="true"/>
        <sz val="13"/>
        <color rgb="FF1F3864"/>
        <rFont val="Yu Gothic"/>
        <family val="0"/>
        <charset val="1"/>
      </rPr>
      <t xml:space="preserve">h3 4</t>
    </r>
    <r>
      <rPr>
        <b val="true"/>
        <sz val="13"/>
        <color rgb="FF1F3864"/>
        <rFont val="Noto Sans CJK SC"/>
        <family val="2"/>
      </rPr>
      <t xml:space="preserve">時間蓄電池のスポット裁定価値（北海道・実績バックテスト）</t>
    </r>
  </si>
  <si>
    <r>
      <rPr>
        <sz val="9"/>
        <color rgb="FF68758A"/>
        <rFont val="Noto Sans CJK SC"/>
        <family val="2"/>
      </rPr>
      <t xml:space="preserve">仕様は九州と同一（</t>
    </r>
    <r>
      <rPr>
        <sz val="9"/>
        <color rgb="FF68758A"/>
        <rFont val="Yu Gothic"/>
        <family val="0"/>
        <charset val="1"/>
      </rPr>
      <t xml:space="preserve">1MW/4MWh</t>
    </r>
    <r>
      <rPr>
        <sz val="9"/>
        <color rgb="FF68758A"/>
        <rFont val="Noto Sans CJK SC"/>
        <family val="2"/>
      </rPr>
      <t xml:space="preserve">・効率</t>
    </r>
    <r>
      <rPr>
        <sz val="9"/>
        <color rgb="FF68758A"/>
        <rFont val="Yu Gothic"/>
        <family val="0"/>
        <charset val="1"/>
      </rPr>
      <t xml:space="preserve">85%</t>
    </r>
    <r>
      <rPr>
        <sz val="9"/>
        <color rgb="FF68758A"/>
        <rFont val="Noto Sans CJK SC"/>
        <family val="2"/>
      </rPr>
      <t xml:space="preserve">・日次</t>
    </r>
    <r>
      <rPr>
        <sz val="9"/>
        <color rgb="FF68758A"/>
        <rFont val="Yu Gothic"/>
        <family val="0"/>
        <charset val="1"/>
      </rPr>
      <t xml:space="preserve">1</t>
    </r>
    <r>
      <rPr>
        <sz val="9"/>
        <color rgb="FF68758A"/>
        <rFont val="Noto Sans CJK SC"/>
        <family val="2"/>
      </rPr>
      <t xml:space="preserve">サイクル・</t>
    </r>
    <r>
      <rPr>
        <sz val="9"/>
        <color rgb="FF68758A"/>
        <rFont val="Yu Gothic"/>
        <family val="0"/>
        <charset val="1"/>
      </rPr>
      <t xml:space="preserve">60</t>
    </r>
    <r>
      <rPr>
        <sz val="9"/>
        <color rgb="FF68758A"/>
        <rFont val="Noto Sans CJK SC"/>
        <family val="2"/>
      </rPr>
      <t xml:space="preserve">分粒度・下限推定）。</t>
    </r>
    <r>
      <rPr>
        <sz val="9"/>
        <color rgb="FF68758A"/>
        <rFont val="Yu Gothic"/>
        <family val="0"/>
        <charset val="1"/>
      </rPr>
      <t xml:space="preserve">b=</t>
    </r>
    <r>
      <rPr>
        <sz val="9"/>
        <color rgb="FF68758A"/>
        <rFont val="Noto Sans CJK SC"/>
        <family val="2"/>
      </rPr>
      <t xml:space="preserve">需要（平日</t>
    </r>
    <r>
      <rPr>
        <sz val="9"/>
        <color rgb="FF68758A"/>
        <rFont val="Yu Gothic"/>
        <family val="0"/>
        <charset val="1"/>
      </rPr>
      <t xml:space="preserve">/</t>
    </r>
    <r>
      <rPr>
        <sz val="9"/>
        <color rgb="FF68758A"/>
        <rFont val="Noto Sans CJK SC"/>
        <family val="2"/>
      </rPr>
      <t xml:space="preserve">休日別</t>
    </r>
    <r>
      <rPr>
        <sz val="9"/>
        <color rgb="FF68758A"/>
        <rFont val="Yu Gothic"/>
        <family val="0"/>
        <charset val="1"/>
      </rPr>
      <t xml:space="preserve">28</t>
    </r>
    <r>
      <rPr>
        <sz val="9"/>
        <color rgb="FF68758A"/>
        <rFont val="Noto Sans CJK SC"/>
        <family val="2"/>
      </rPr>
      <t xml:space="preserve">日平均）−太陽光（</t>
    </r>
    <r>
      <rPr>
        <sz val="9"/>
        <color rgb="FF68758A"/>
        <rFont val="Yu Gothic"/>
        <family val="0"/>
        <charset val="1"/>
      </rPr>
      <t xml:space="preserve">7</t>
    </r>
    <r>
      <rPr>
        <sz val="9"/>
        <color rgb="FF68758A"/>
        <rFont val="Noto Sans CJK SC"/>
        <family val="2"/>
      </rPr>
      <t xml:space="preserve">日平均）の予測残余需要ランク、</t>
    </r>
    <r>
      <rPr>
        <sz val="9"/>
        <color rgb="FF68758A"/>
        <rFont val="Yu Gothic"/>
        <family val="0"/>
        <charset val="1"/>
      </rPr>
      <t xml:space="preserve">b'=</t>
    </r>
    <r>
      <rPr>
        <sz val="9"/>
        <color rgb="FF68758A"/>
        <rFont val="Noto Sans CJK SC"/>
        <family val="2"/>
      </rPr>
      <t xml:space="preserve">さらに風力の</t>
    </r>
    <r>
      <rPr>
        <sz val="9"/>
        <color rgb="FF68758A"/>
        <rFont val="Yu Gothic"/>
        <family val="0"/>
        <charset val="1"/>
      </rPr>
      <t xml:space="preserve">7</t>
    </r>
    <r>
      <rPr>
        <sz val="9"/>
        <color rgb="FF68758A"/>
        <rFont val="Noto Sans CJK SC"/>
        <family val="2"/>
      </rPr>
      <t xml:space="preserve">日持続予測を控除。捕捉率は数式列。</t>
    </r>
    <r>
      <rPr>
        <sz val="9"/>
        <color rgb="FF68758A"/>
        <rFont val="Yu Gothic"/>
        <family val="0"/>
        <charset val="1"/>
      </rPr>
      <t xml:space="preserve">2018</t>
    </r>
    <r>
      <rPr>
        <sz val="9"/>
        <color rgb="FF68758A"/>
        <rFont val="Noto Sans CJK SC"/>
        <family val="2"/>
      </rPr>
      <t xml:space="preserve">年</t>
    </r>
    <r>
      <rPr>
        <sz val="9"/>
        <color rgb="FF68758A"/>
        <rFont val="Yu Gothic"/>
        <family val="0"/>
        <charset val="1"/>
      </rPr>
      <t xml:space="preserve">9</t>
    </r>
    <r>
      <rPr>
        <sz val="9"/>
        <color rgb="FF68758A"/>
        <rFont val="Noto Sans CJK SC"/>
        <family val="2"/>
      </rPr>
      <t xml:space="preserve">月</t>
    </r>
    <r>
      <rPr>
        <sz val="9"/>
        <color rgb="FF68758A"/>
        <rFont val="Yu Gothic"/>
        <family val="0"/>
        <charset val="1"/>
      </rPr>
      <t xml:space="preserve">7</t>
    </r>
    <r>
      <rPr>
        <sz val="9"/>
        <color rgb="FF68758A"/>
        <rFont val="Noto Sans CJK SC"/>
        <family val="2"/>
      </rPr>
      <t xml:space="preserve">〜</t>
    </r>
    <r>
      <rPr>
        <sz val="9"/>
        <color rgb="FF68758A"/>
        <rFont val="Yu Gothic"/>
        <family val="0"/>
        <charset val="1"/>
      </rPr>
      <t xml:space="preserve">26</t>
    </r>
    <r>
      <rPr>
        <sz val="9"/>
        <color rgb="FF68758A"/>
        <rFont val="Noto Sans CJK SC"/>
        <family val="2"/>
      </rPr>
      <t xml:space="preserve">日は胆振東部地震後の取引停止により北海道エリアプライスが欠損（</t>
    </r>
    <r>
      <rPr>
        <sz val="9"/>
        <color rgb="FF68758A"/>
        <rFont val="Yu Gothic"/>
        <family val="0"/>
        <charset val="1"/>
      </rPr>
      <t xml:space="preserve">480</t>
    </r>
    <r>
      <rPr>
        <sz val="9"/>
        <color rgb="FF68758A"/>
        <rFont val="Noto Sans CJK SC"/>
        <family val="2"/>
      </rPr>
      <t xml:space="preserve">時間）。再現</t>
    </r>
    <r>
      <rPr>
        <sz val="9"/>
        <color rgb="FF68758A"/>
        <rFont val="Yu Gothic"/>
        <family val="0"/>
        <charset val="1"/>
      </rPr>
      <t xml:space="preserve">: analysis/10</t>
    </r>
    <r>
      <rPr>
        <sz val="9"/>
        <color rgb="FF68758A"/>
        <rFont val="Noto Sans CJK SC"/>
        <family val="2"/>
      </rPr>
      <t xml:space="preserve">・</t>
    </r>
    <r>
      <rPr>
        <sz val="9"/>
        <color rgb="FF68758A"/>
        <rFont val="Yu Gothic"/>
        <family val="0"/>
        <charset val="1"/>
      </rPr>
      <t xml:space="preserve">11</t>
    </r>
  </si>
  <si>
    <r>
      <rPr>
        <b val="true"/>
        <sz val="10"/>
        <color rgb="FFFFFFFF"/>
        <rFont val="Noto Sans CJK SC"/>
        <family val="2"/>
      </rPr>
      <t xml:space="preserve">北海道 完全予見（円</t>
    </r>
    <r>
      <rPr>
        <b val="true"/>
        <sz val="10"/>
        <color rgb="FFFFFFFF"/>
        <rFont val="Yu Gothic"/>
        <family val="0"/>
        <charset val="1"/>
      </rPr>
      <t xml:space="preserve">/kW-</t>
    </r>
    <r>
      <rPr>
        <b val="true"/>
        <sz val="10"/>
        <color rgb="FFFFFFFF"/>
        <rFont val="Noto Sans CJK SC"/>
        <family val="2"/>
      </rPr>
      <t xml:space="preserve">年）</t>
    </r>
  </si>
  <si>
    <r>
      <rPr>
        <b val="true"/>
        <sz val="10"/>
        <color rgb="FFFFFFFF"/>
        <rFont val="Yu Gothic"/>
        <family val="0"/>
        <charset val="1"/>
      </rPr>
      <t xml:space="preserve">a. </t>
    </r>
    <r>
      <rPr>
        <b val="true"/>
        <sz val="10"/>
        <color rgb="FFFFFFFF"/>
        <rFont val="Noto Sans CJK SC"/>
        <family val="2"/>
      </rPr>
      <t xml:space="preserve">前日価格（円</t>
    </r>
    <r>
      <rPr>
        <b val="true"/>
        <sz val="10"/>
        <color rgb="FFFFFFFF"/>
        <rFont val="Yu Gothic"/>
        <family val="0"/>
        <charset val="1"/>
      </rPr>
      <t xml:space="preserve">/kW-</t>
    </r>
    <r>
      <rPr>
        <b val="true"/>
        <sz val="10"/>
        <color rgb="FFFFFFFF"/>
        <rFont val="Noto Sans CJK SC"/>
        <family val="2"/>
      </rPr>
      <t xml:space="preserve">年）</t>
    </r>
  </si>
  <si>
    <r>
      <rPr>
        <b val="true"/>
        <sz val="10"/>
        <color rgb="FFFFFFFF"/>
        <rFont val="Yu Gothic"/>
        <family val="0"/>
        <charset val="1"/>
      </rPr>
      <t xml:space="preserve">b. </t>
    </r>
    <r>
      <rPr>
        <b val="true"/>
        <sz val="10"/>
        <color rgb="FFFFFFFF"/>
        <rFont val="Noto Sans CJK SC"/>
        <family val="2"/>
      </rPr>
      <t xml:space="preserve">前日予測 需要−太陽光（円</t>
    </r>
    <r>
      <rPr>
        <b val="true"/>
        <sz val="10"/>
        <color rgb="FFFFFFFF"/>
        <rFont val="Yu Gothic"/>
        <family val="0"/>
        <charset val="1"/>
      </rPr>
      <t xml:space="preserve">/kW-</t>
    </r>
    <r>
      <rPr>
        <b val="true"/>
        <sz val="10"/>
        <color rgb="FFFFFFFF"/>
        <rFont val="Noto Sans CJK SC"/>
        <family val="2"/>
      </rPr>
      <t xml:space="preserve">年）</t>
    </r>
  </si>
  <si>
    <r>
      <rPr>
        <b val="true"/>
        <sz val="10"/>
        <color rgb="FFFFFFFF"/>
        <rFont val="Yu Gothic"/>
        <family val="0"/>
        <charset val="1"/>
      </rPr>
      <t xml:space="preserve">b'. </t>
    </r>
    <r>
      <rPr>
        <b val="true"/>
        <sz val="10"/>
        <color rgb="FFFFFFFF"/>
        <rFont val="Noto Sans CJK SC"/>
        <family val="2"/>
      </rPr>
      <t xml:space="preserve">前日予測 −風力持続込み（円</t>
    </r>
    <r>
      <rPr>
        <b val="true"/>
        <sz val="10"/>
        <color rgb="FFFFFFFF"/>
        <rFont val="Yu Gothic"/>
        <family val="0"/>
        <charset val="1"/>
      </rPr>
      <t xml:space="preserve">/kW-</t>
    </r>
    <r>
      <rPr>
        <b val="true"/>
        <sz val="10"/>
        <color rgb="FFFFFFFF"/>
        <rFont val="Noto Sans CJK SC"/>
        <family val="2"/>
      </rPr>
      <t xml:space="preserve">年）</t>
    </r>
  </si>
  <si>
    <t xml:space="preserve">（参考）九州 完全予見</t>
  </si>
  <si>
    <r>
      <rPr>
        <b val="true"/>
        <sz val="10"/>
        <color rgb="FFFFFFFF"/>
        <rFont val="Yu Gothic"/>
        <family val="0"/>
        <charset val="1"/>
      </rPr>
      <t xml:space="preserve">a</t>
    </r>
    <r>
      <rPr>
        <b val="true"/>
        <sz val="10"/>
        <color rgb="FFFFFFFF"/>
        <rFont val="Noto Sans CJK SC"/>
        <family val="2"/>
      </rPr>
      <t xml:space="preserve">捕捉率</t>
    </r>
  </si>
  <si>
    <r>
      <rPr>
        <b val="true"/>
        <sz val="10"/>
        <color rgb="FFFFFFFF"/>
        <rFont val="Yu Gothic"/>
        <family val="0"/>
        <charset val="1"/>
      </rPr>
      <t xml:space="preserve">b</t>
    </r>
    <r>
      <rPr>
        <b val="true"/>
        <sz val="10"/>
        <color rgb="FFFFFFFF"/>
        <rFont val="Noto Sans CJK SC"/>
        <family val="2"/>
      </rPr>
      <t xml:space="preserve">捕捉率</t>
    </r>
  </si>
  <si>
    <r>
      <rPr>
        <b val="true"/>
        <sz val="10"/>
        <color rgb="FFFFFFFF"/>
        <rFont val="Yu Gothic"/>
        <family val="0"/>
        <charset val="1"/>
      </rPr>
      <t xml:space="preserve">b'</t>
    </r>
    <r>
      <rPr>
        <b val="true"/>
        <sz val="10"/>
        <color rgb="FFFFFFFF"/>
        <rFont val="Noto Sans CJK SC"/>
        <family val="2"/>
      </rPr>
      <t xml:space="preserve">捕捉率</t>
    </r>
  </si>
  <si>
    <r>
      <rPr>
        <b val="true"/>
        <sz val="13"/>
        <color rgb="FF1F3864"/>
        <rFont val="Yu Gothic"/>
        <family val="0"/>
        <charset val="1"/>
      </rPr>
      <t xml:space="preserve">h4 </t>
    </r>
    <r>
      <rPr>
        <b val="true"/>
        <sz val="13"/>
        <color rgb="FF1F3864"/>
        <rFont val="Noto Sans CJK SC"/>
        <family val="2"/>
      </rPr>
      <t xml:space="preserve">日次</t>
    </r>
    <r>
      <rPr>
        <b val="true"/>
        <sz val="13"/>
        <color rgb="FF1F3864"/>
        <rFont val="Yu Gothic"/>
        <family val="0"/>
        <charset val="1"/>
      </rPr>
      <t xml:space="preserve">TB4h</t>
    </r>
    <r>
      <rPr>
        <b val="true"/>
        <sz val="13"/>
        <color rgb="FF1F3864"/>
        <rFont val="Noto Sans CJK SC"/>
        <family val="2"/>
      </rPr>
      <t xml:space="preserve">スプレッドの年度推移（円</t>
    </r>
    <r>
      <rPr>
        <b val="true"/>
        <sz val="13"/>
        <color rgb="FF1F3864"/>
        <rFont val="Yu Gothic"/>
        <family val="0"/>
        <charset val="1"/>
      </rPr>
      <t xml:space="preserve">/kWh</t>
    </r>
    <r>
      <rPr>
        <b val="true"/>
        <sz val="13"/>
        <color rgb="FF1F3864"/>
        <rFont val="Noto Sans CJK SC"/>
        <family val="2"/>
      </rPr>
      <t xml:space="preserve">）：北海道は九州型の単調拡大とは異なる履歴</t>
    </r>
  </si>
  <si>
    <r>
      <rPr>
        <sz val="9"/>
        <color rgb="FF68758A"/>
        <rFont val="Noto Sans CJK SC"/>
        <family val="2"/>
      </rPr>
      <t xml:space="preserve">各日の</t>
    </r>
    <r>
      <rPr>
        <sz val="9"/>
        <color rgb="FF68758A"/>
        <rFont val="Yu Gothic"/>
        <family val="0"/>
        <charset val="1"/>
      </rPr>
      <t xml:space="preserve">48</t>
    </r>
    <r>
      <rPr>
        <sz val="9"/>
        <color rgb="FF68758A"/>
        <rFont val="Noto Sans CJK SC"/>
        <family val="2"/>
      </rPr>
      <t xml:space="preserve">コマのうち上位</t>
    </r>
    <r>
      <rPr>
        <sz val="9"/>
        <color rgb="FF68758A"/>
        <rFont val="Yu Gothic"/>
        <family val="0"/>
        <charset val="1"/>
      </rPr>
      <t xml:space="preserve">8</t>
    </r>
    <r>
      <rPr>
        <sz val="9"/>
        <color rgb="FF68758A"/>
        <rFont val="Noto Sans CJK SC"/>
        <family val="2"/>
      </rPr>
      <t xml:space="preserve">コマ平均−下位</t>
    </r>
    <r>
      <rPr>
        <sz val="9"/>
        <color rgb="FF68758A"/>
        <rFont val="Yu Gothic"/>
        <family val="0"/>
        <charset val="1"/>
      </rPr>
      <t xml:space="preserve">8</t>
    </r>
    <r>
      <rPr>
        <sz val="9"/>
        <color rgb="FF68758A"/>
        <rFont val="Noto Sans CJK SC"/>
        <family val="2"/>
      </rPr>
      <t xml:space="preserve">コマ平均。北海道は</t>
    </r>
    <r>
      <rPr>
        <sz val="9"/>
        <color rgb="FF68758A"/>
        <rFont val="Yu Gothic"/>
        <family val="0"/>
        <charset val="1"/>
      </rPr>
      <t xml:space="preserve">FY2016</t>
    </r>
    <r>
      <rPr>
        <sz val="9"/>
        <color rgb="FF68758A"/>
        <rFont val="Noto Sans CJK SC"/>
        <family val="2"/>
      </rPr>
      <t xml:space="preserve">から高スプレッド（冬季逼迫型）→</t>
    </r>
    <r>
      <rPr>
        <sz val="9"/>
        <color rgb="FF68758A"/>
        <rFont val="Yu Gothic"/>
        <family val="0"/>
        <charset val="1"/>
      </rPr>
      <t xml:space="preserve">FY2020</t>
    </r>
    <r>
      <rPr>
        <sz val="9"/>
        <color rgb="FF68758A"/>
        <rFont val="Noto Sans CJK SC"/>
        <family val="2"/>
      </rPr>
      <t xml:space="preserve">に底→再拡大という経路で、太陽光起因の九州とドライバーが異なる。再現</t>
    </r>
    <r>
      <rPr>
        <sz val="9"/>
        <color rgb="FF68758A"/>
        <rFont val="Yu Gothic"/>
        <family val="0"/>
        <charset val="1"/>
      </rPr>
      <t xml:space="preserve">: analysis/10</t>
    </r>
  </si>
  <si>
    <r>
      <rPr>
        <b val="true"/>
        <sz val="10"/>
        <color rgb="FFFFFFFF"/>
        <rFont val="Noto Sans CJK SC"/>
        <family val="2"/>
      </rPr>
      <t xml:space="preserve">北海道 </t>
    </r>
    <r>
      <rPr>
        <b val="true"/>
        <sz val="10"/>
        <color rgb="FFFFFFFF"/>
        <rFont val="Yu Gothic"/>
        <family val="0"/>
        <charset val="1"/>
      </rPr>
      <t xml:space="preserve">25%</t>
    </r>
    <r>
      <rPr>
        <b val="true"/>
        <sz val="10"/>
        <color rgb="FFFFFFFF"/>
        <rFont val="Noto Sans CJK SC"/>
        <family val="2"/>
      </rPr>
      <t xml:space="preserve">分位</t>
    </r>
  </si>
  <si>
    <t xml:space="preserve">北海道 中央値</t>
  </si>
  <si>
    <r>
      <rPr>
        <b val="true"/>
        <sz val="10"/>
        <color rgb="FFFFFFFF"/>
        <rFont val="Noto Sans CJK SC"/>
        <family val="2"/>
      </rPr>
      <t xml:space="preserve">北海道 </t>
    </r>
    <r>
      <rPr>
        <b val="true"/>
        <sz val="10"/>
        <color rgb="FFFFFFFF"/>
        <rFont val="Yu Gothic"/>
        <family val="0"/>
        <charset val="1"/>
      </rPr>
      <t xml:space="preserve">75%</t>
    </r>
    <r>
      <rPr>
        <b val="true"/>
        <sz val="10"/>
        <color rgb="FFFFFFFF"/>
        <rFont val="Noto Sans CJK SC"/>
        <family val="2"/>
      </rPr>
      <t xml:space="preserve">分位</t>
    </r>
  </si>
  <si>
    <t xml:space="preserve">（参考）九州 中央値</t>
  </si>
  <si>
    <r>
      <rPr>
        <b val="true"/>
        <sz val="13"/>
        <color rgb="FF1F3864"/>
        <rFont val="Yu Gothic"/>
        <family val="0"/>
        <charset val="1"/>
      </rPr>
      <t xml:space="preserve">h5 </t>
    </r>
    <r>
      <rPr>
        <b val="true"/>
        <sz val="13"/>
        <color rgb="FF1F3864"/>
        <rFont val="Noto Sans CJK SC"/>
        <family val="2"/>
      </rPr>
      <t xml:space="preserve">市場分断の方向転換：「逼迫の高値エリア」から「余剰閉じ込めの安値方向」へ</t>
    </r>
  </si>
  <si>
    <r>
      <rPr>
        <sz val="9"/>
        <color rgb="FF68758A"/>
        <rFont val="Noto Sans CJK SC"/>
        <family val="2"/>
      </rPr>
      <t xml:space="preserve">高値分断率は</t>
    </r>
    <r>
      <rPr>
        <sz val="9"/>
        <color rgb="FF68758A"/>
        <rFont val="Yu Gothic"/>
        <family val="0"/>
        <charset val="1"/>
      </rPr>
      <t xml:space="preserve">FY2016-19</t>
    </r>
    <r>
      <rPr>
        <sz val="9"/>
        <color rgb="FF68758A"/>
        <rFont val="Noto Sans CJK SC"/>
        <family val="2"/>
      </rPr>
      <t xml:space="preserve">の</t>
    </r>
    <r>
      <rPr>
        <sz val="9"/>
        <color rgb="FF68758A"/>
        <rFont val="Yu Gothic"/>
        <family val="0"/>
        <charset val="1"/>
      </rPr>
      <t xml:space="preserve">87</t>
    </r>
    <r>
      <rPr>
        <sz val="9"/>
        <color rgb="FF68758A"/>
        <rFont val="Noto Sans CJK SC"/>
        <family val="2"/>
      </rPr>
      <t xml:space="preserve">〜</t>
    </r>
    <r>
      <rPr>
        <sz val="9"/>
        <color rgb="FF68758A"/>
        <rFont val="Yu Gothic"/>
        <family val="0"/>
        <charset val="1"/>
      </rPr>
      <t xml:space="preserve">92%</t>
    </r>
    <r>
      <rPr>
        <sz val="9"/>
        <color rgb="FF68758A"/>
        <rFont val="Noto Sans CJK SC"/>
        <family val="2"/>
      </rPr>
      <t xml:space="preserve">から約</t>
    </r>
    <r>
      <rPr>
        <sz val="9"/>
        <color rgb="FF68758A"/>
        <rFont val="Yu Gothic"/>
        <family val="0"/>
        <charset val="1"/>
      </rPr>
      <t xml:space="preserve">60%</t>
    </r>
    <r>
      <rPr>
        <sz val="9"/>
        <color rgb="FF68758A"/>
        <rFont val="Noto Sans CJK SC"/>
        <family val="2"/>
      </rPr>
      <t xml:space="preserve">へ低下、安値分断率は</t>
    </r>
    <r>
      <rPr>
        <sz val="9"/>
        <color rgb="FF68758A"/>
        <rFont val="Yu Gothic"/>
        <family val="0"/>
        <charset val="1"/>
      </rPr>
      <t xml:space="preserve">1</t>
    </r>
    <r>
      <rPr>
        <sz val="9"/>
        <color rgb="FF68758A"/>
        <rFont val="Noto Sans CJK SC"/>
        <family val="2"/>
      </rPr>
      <t xml:space="preserve">〜</t>
    </r>
    <r>
      <rPr>
        <sz val="9"/>
        <color rgb="FF68758A"/>
        <rFont val="Yu Gothic"/>
        <family val="0"/>
        <charset val="1"/>
      </rPr>
      <t xml:space="preserve">5%</t>
    </r>
    <r>
      <rPr>
        <sz val="9"/>
        <color rgb="FF68758A"/>
        <rFont val="Noto Sans CJK SC"/>
        <family val="2"/>
      </rPr>
      <t xml:space="preserve">から</t>
    </r>
    <r>
      <rPr>
        <sz val="9"/>
        <color rgb="FF68758A"/>
        <rFont val="Yu Gothic"/>
        <family val="0"/>
        <charset val="1"/>
      </rPr>
      <t xml:space="preserve">30%</t>
    </r>
    <r>
      <rPr>
        <sz val="9"/>
        <color rgb="FF68758A"/>
        <rFont val="Noto Sans CJK SC"/>
        <family val="2"/>
      </rPr>
      <t xml:space="preserve">前後へ増加。北海道−東北の平均値差も</t>
    </r>
    <r>
      <rPr>
        <sz val="9"/>
        <color rgb="FF68758A"/>
        <rFont val="Yu Gothic"/>
        <family val="0"/>
        <charset val="1"/>
      </rPr>
      <t xml:space="preserve">+2.6</t>
    </r>
    <r>
      <rPr>
        <sz val="9"/>
        <color rgb="FF68758A"/>
        <rFont val="Noto Sans CJK SC"/>
        <family val="2"/>
      </rPr>
      <t xml:space="preserve">〜</t>
    </r>
    <r>
      <rPr>
        <sz val="9"/>
        <color rgb="FF68758A"/>
        <rFont val="Yu Gothic"/>
        <family val="0"/>
        <charset val="1"/>
      </rPr>
      <t xml:space="preserve">4.6</t>
    </r>
    <r>
      <rPr>
        <sz val="9"/>
        <color rgb="FF68758A"/>
        <rFont val="Noto Sans CJK SC"/>
        <family val="2"/>
      </rPr>
      <t xml:space="preserve">円→ほぼ</t>
    </r>
    <r>
      <rPr>
        <sz val="9"/>
        <color rgb="FF68758A"/>
        <rFont val="Yu Gothic"/>
        <family val="0"/>
        <charset val="1"/>
      </rPr>
      <t xml:space="preserve">0</t>
    </r>
    <r>
      <rPr>
        <sz val="9"/>
        <color rgb="FF68758A"/>
        <rFont val="Noto Sans CJK SC"/>
        <family val="2"/>
      </rPr>
      <t xml:space="preserve">円へ（双方向に割れる構造に変化）。間接送電権の北海道→東北方向の商品化（</t>
    </r>
    <r>
      <rPr>
        <sz val="9"/>
        <color rgb="FF68758A"/>
        <rFont val="Yu Gothic"/>
        <family val="0"/>
        <charset val="1"/>
      </rPr>
      <t xml:space="preserve">2026</t>
    </r>
    <r>
      <rPr>
        <sz val="9"/>
        <color rgb="FF68758A"/>
        <rFont val="Noto Sans CJK SC"/>
        <family val="2"/>
      </rPr>
      <t xml:space="preserve">年度）と整合。再現</t>
    </r>
    <r>
      <rPr>
        <sz val="9"/>
        <color rgb="FF68758A"/>
        <rFont val="Yu Gothic"/>
        <family val="0"/>
        <charset val="1"/>
      </rPr>
      <t xml:space="preserve">: analysis/10</t>
    </r>
  </si>
  <si>
    <r>
      <rPr>
        <b val="true"/>
        <sz val="10"/>
        <color rgb="FFFFFFFF"/>
        <rFont val="Noto Sans CJK SC"/>
        <family val="2"/>
      </rPr>
      <t xml:space="preserve">高値分断率</t>
    </r>
    <r>
      <rPr>
        <b val="true"/>
        <sz val="10"/>
        <color rgb="FFFFFFFF"/>
        <rFont val="Yu Gothic"/>
        <family val="0"/>
        <charset val="1"/>
      </rPr>
      <t xml:space="preserve">%</t>
    </r>
    <r>
      <rPr>
        <b val="true"/>
        <sz val="10"/>
        <color rgb="FFFFFFFF"/>
        <rFont val="Noto Sans CJK SC"/>
        <family val="2"/>
      </rPr>
      <t xml:space="preserve">（北海道</t>
    </r>
    <r>
      <rPr>
        <b val="true"/>
        <sz val="10"/>
        <color rgb="FFFFFFFF"/>
        <rFont val="Yu Gothic"/>
        <family val="0"/>
        <charset val="1"/>
      </rPr>
      <t xml:space="preserve">&gt;</t>
    </r>
    <r>
      <rPr>
        <b val="true"/>
        <sz val="10"/>
        <color rgb="FFFFFFFF"/>
        <rFont val="Noto Sans CJK SC"/>
        <family val="2"/>
      </rPr>
      <t xml:space="preserve">システム）</t>
    </r>
  </si>
  <si>
    <r>
      <rPr>
        <b val="true"/>
        <sz val="10"/>
        <color rgb="FFFFFFFF"/>
        <rFont val="Noto Sans CJK SC"/>
        <family val="2"/>
      </rPr>
      <t xml:space="preserve">安値分断率</t>
    </r>
    <r>
      <rPr>
        <b val="true"/>
        <sz val="10"/>
        <color rgb="FFFFFFFF"/>
        <rFont val="Yu Gothic"/>
        <family val="0"/>
        <charset val="1"/>
      </rPr>
      <t xml:space="preserve">%</t>
    </r>
    <r>
      <rPr>
        <b val="true"/>
        <sz val="10"/>
        <color rgb="FFFFFFFF"/>
        <rFont val="Noto Sans CJK SC"/>
        <family val="2"/>
      </rPr>
      <t xml:space="preserve">（北海道</t>
    </r>
    <r>
      <rPr>
        <b val="true"/>
        <sz val="10"/>
        <color rgb="FFFFFFFF"/>
        <rFont val="Yu Gothic"/>
        <family val="0"/>
        <charset val="1"/>
      </rPr>
      <t xml:space="preserve">&lt;</t>
    </r>
    <r>
      <rPr>
        <b val="true"/>
        <sz val="10"/>
        <color rgb="FFFFFFFF"/>
        <rFont val="Noto Sans CJK SC"/>
        <family val="2"/>
      </rPr>
      <t xml:space="preserve">システム）</t>
    </r>
  </si>
  <si>
    <r>
      <rPr>
        <b val="true"/>
        <sz val="10"/>
        <color rgb="FFFFFFFF"/>
        <rFont val="Noto Sans CJK SC"/>
        <family val="2"/>
      </rPr>
      <t xml:space="preserve">北海道−東北 平均値差（円</t>
    </r>
    <r>
      <rPr>
        <b val="true"/>
        <sz val="10"/>
        <color rgb="FFFFFFFF"/>
        <rFont val="Yu Gothic"/>
        <family val="0"/>
        <charset val="1"/>
      </rPr>
      <t xml:space="preserve">/kWh</t>
    </r>
    <r>
      <rPr>
        <b val="true"/>
        <sz val="10"/>
        <color rgb="FFFFFFFF"/>
        <rFont val="Noto Sans CJK SC"/>
        <family val="2"/>
      </rPr>
      <t xml:space="preserve">）</t>
    </r>
  </si>
  <si>
    <r>
      <rPr>
        <b val="true"/>
        <sz val="13"/>
        <color rgb="FF1F3864"/>
        <rFont val="Yu Gothic"/>
        <family val="0"/>
        <charset val="1"/>
      </rPr>
      <t xml:space="preserve">h6 </t>
    </r>
    <r>
      <rPr>
        <b val="true"/>
        <sz val="13"/>
        <color rgb="FF1F3864"/>
        <rFont val="Noto Sans CJK SC"/>
        <family val="2"/>
      </rPr>
      <t xml:space="preserve">北海道の風力変動も「数日帯域」が支配的 — 九州の実測が北海道でも再現</t>
    </r>
  </si>
  <si>
    <r>
      <rPr>
        <sz val="9"/>
        <color rgb="FF68758A"/>
        <rFont val="Noto Sans CJK SC"/>
        <family val="2"/>
      </rPr>
      <t xml:space="preserve">移動平均カスケードによる非直交帯域分解（</t>
    </r>
    <r>
      <rPr>
        <sz val="9"/>
        <color rgb="FF68758A"/>
        <rFont val="Yu Gothic"/>
        <family val="0"/>
        <charset val="1"/>
      </rPr>
      <t xml:space="preserve">FY2022-25</t>
    </r>
    <r>
      <rPr>
        <sz val="9"/>
        <color rgb="FF68758A"/>
        <rFont val="Noto Sans CJK SC"/>
        <family val="2"/>
      </rPr>
      <t xml:space="preserve">、交差項ありシェア合計≠</t>
    </r>
    <r>
      <rPr>
        <sz val="9"/>
        <color rgb="FF68758A"/>
        <rFont val="Yu Gothic"/>
        <family val="0"/>
        <charset val="1"/>
      </rPr>
      <t xml:space="preserve">100%</t>
    </r>
    <r>
      <rPr>
        <sz val="9"/>
        <color rgb="FF68758A"/>
        <rFont val="Noto Sans CJK SC"/>
        <family val="2"/>
      </rPr>
      <t xml:space="preserve">）。低出力イベント（平均の</t>
    </r>
    <r>
      <rPr>
        <sz val="9"/>
        <color rgb="FF68758A"/>
        <rFont val="Yu Gothic"/>
        <family val="0"/>
        <charset val="1"/>
      </rPr>
      <t xml:space="preserve">20%</t>
    </r>
    <r>
      <rPr>
        <sz val="9"/>
        <color rgb="FF68758A"/>
        <rFont val="Noto Sans CJK SC"/>
        <family val="2"/>
      </rPr>
      <t xml:space="preserve">未満）</t>
    </r>
    <r>
      <rPr>
        <sz val="9"/>
        <color rgb="FF68758A"/>
        <rFont val="Yu Gothic"/>
        <family val="0"/>
        <charset val="1"/>
      </rPr>
      <t xml:space="preserve">: </t>
    </r>
    <r>
      <rPr>
        <sz val="9"/>
        <color rgb="FF68758A"/>
        <rFont val="Noto Sans CJK SC"/>
        <family val="2"/>
      </rPr>
      <t xml:space="preserve">中央値</t>
    </r>
    <r>
      <rPr>
        <sz val="9"/>
        <color rgb="FF68758A"/>
        <rFont val="Yu Gothic"/>
        <family val="0"/>
        <charset val="1"/>
      </rPr>
      <t xml:space="preserve">6h</t>
    </r>
    <r>
      <rPr>
        <sz val="9"/>
        <color rgb="FF68758A"/>
        <rFont val="Noto Sans CJK SC"/>
        <family val="2"/>
      </rPr>
      <t xml:space="preserve">・</t>
    </r>
    <r>
      <rPr>
        <sz val="9"/>
        <color rgb="FF68758A"/>
        <rFont val="Yu Gothic"/>
        <family val="0"/>
        <charset val="1"/>
      </rPr>
      <t xml:space="preserve">p90 20h</t>
    </r>
    <r>
      <rPr>
        <sz val="9"/>
        <color rgb="FF68758A"/>
        <rFont val="Noto Sans CJK SC"/>
        <family val="2"/>
      </rPr>
      <t xml:space="preserve">・最長</t>
    </r>
    <r>
      <rPr>
        <sz val="9"/>
        <color rgb="FF68758A"/>
        <rFont val="Yu Gothic"/>
        <family val="0"/>
        <charset val="1"/>
      </rPr>
      <t xml:space="preserve">96h</t>
    </r>
    <r>
      <rPr>
        <sz val="9"/>
        <color rgb="FF68758A"/>
        <rFont val="Noto Sans CJK SC"/>
        <family val="2"/>
      </rPr>
      <t xml:space="preserve">。右表は風力・太陽光の対エリア需要エネルギーシェア実測。再現</t>
    </r>
    <r>
      <rPr>
        <sz val="9"/>
        <color rgb="FF68758A"/>
        <rFont val="Yu Gothic"/>
        <family val="0"/>
        <charset val="1"/>
      </rPr>
      <t xml:space="preserve">: analysis/10</t>
    </r>
    <r>
      <rPr>
        <sz val="9"/>
        <color rgb="FF68758A"/>
        <rFont val="Noto Sans CJK SC"/>
        <family val="2"/>
      </rPr>
      <t xml:space="preserve">・</t>
    </r>
    <r>
      <rPr>
        <sz val="9"/>
        <color rgb="FF68758A"/>
        <rFont val="Yu Gothic"/>
        <family val="0"/>
        <charset val="1"/>
      </rPr>
      <t xml:space="preserve">11</t>
    </r>
  </si>
  <si>
    <t xml:space="preserve">帯域</t>
  </si>
  <si>
    <r>
      <rPr>
        <b val="true"/>
        <sz val="10"/>
        <color rgb="FFFFFFFF"/>
        <rFont val="Noto Sans CJK SC"/>
        <family val="2"/>
      </rPr>
      <t xml:space="preserve">北海道 風力（</t>
    </r>
    <r>
      <rPr>
        <b val="true"/>
        <sz val="10"/>
        <color rgb="FFFFFFFF"/>
        <rFont val="Yu Gothic"/>
        <family val="0"/>
        <charset val="1"/>
      </rPr>
      <t xml:space="preserve">%</t>
    </r>
    <r>
      <rPr>
        <b val="true"/>
        <sz val="10"/>
        <color rgb="FFFFFFFF"/>
        <rFont val="Noto Sans CJK SC"/>
        <family val="2"/>
      </rPr>
      <t xml:space="preserve">）</t>
    </r>
  </si>
  <si>
    <r>
      <rPr>
        <b val="true"/>
        <sz val="10"/>
        <color rgb="FFFFFFFF"/>
        <rFont val="Noto Sans CJK SC"/>
        <family val="2"/>
      </rPr>
      <t xml:space="preserve">九州 風力（</t>
    </r>
    <r>
      <rPr>
        <b val="true"/>
        <sz val="10"/>
        <color rgb="FFFFFFFF"/>
        <rFont val="Yu Gothic"/>
        <family val="0"/>
        <charset val="1"/>
      </rPr>
      <t xml:space="preserve">%</t>
    </r>
    <r>
      <rPr>
        <b val="true"/>
        <sz val="10"/>
        <color rgb="FFFFFFFF"/>
        <rFont val="Noto Sans CJK SC"/>
        <family val="2"/>
      </rPr>
      <t xml:space="preserve">）</t>
    </r>
  </si>
  <si>
    <r>
      <rPr>
        <b val="true"/>
        <sz val="10"/>
        <color rgb="FFFFFFFF"/>
        <rFont val="Noto Sans CJK SC"/>
        <family val="2"/>
      </rPr>
      <t xml:space="preserve">北海道 太陽光（</t>
    </r>
    <r>
      <rPr>
        <b val="true"/>
        <sz val="10"/>
        <color rgb="FFFFFFFF"/>
        <rFont val="Yu Gothic"/>
        <family val="0"/>
        <charset val="1"/>
      </rPr>
      <t xml:space="preserve">%</t>
    </r>
    <r>
      <rPr>
        <b val="true"/>
        <sz val="10"/>
        <color rgb="FFFFFFFF"/>
        <rFont val="Noto Sans CJK SC"/>
        <family val="2"/>
      </rPr>
      <t xml:space="preserve">）</t>
    </r>
  </si>
  <si>
    <r>
      <rPr>
        <b val="true"/>
        <sz val="10"/>
        <color rgb="FFFFFFFF"/>
        <rFont val="Noto Sans CJK SC"/>
        <family val="2"/>
      </rPr>
      <t xml:space="preserve">風力シェア（</t>
    </r>
    <r>
      <rPr>
        <b val="true"/>
        <sz val="10"/>
        <color rgb="FFFFFFFF"/>
        <rFont val="Yu Gothic"/>
        <family val="0"/>
        <charset val="1"/>
      </rPr>
      <t xml:space="preserve">%</t>
    </r>
    <r>
      <rPr>
        <b val="true"/>
        <sz val="10"/>
        <color rgb="FFFFFFFF"/>
        <rFont val="Noto Sans CJK SC"/>
        <family val="2"/>
      </rPr>
      <t xml:space="preserve">）</t>
    </r>
  </si>
  <si>
    <r>
      <rPr>
        <b val="true"/>
        <sz val="10"/>
        <color rgb="FFFFFFFF"/>
        <rFont val="Noto Sans CJK SC"/>
        <family val="2"/>
      </rPr>
      <t xml:space="preserve">太陽光シェア（</t>
    </r>
    <r>
      <rPr>
        <b val="true"/>
        <sz val="10"/>
        <color rgb="FFFFFFFF"/>
        <rFont val="Yu Gothic"/>
        <family val="0"/>
        <charset val="1"/>
      </rPr>
      <t xml:space="preserve">%</t>
    </r>
    <r>
      <rPr>
        <b val="true"/>
        <sz val="10"/>
        <color rgb="FFFFFFFF"/>
        <rFont val="Noto Sans CJK SC"/>
        <family val="2"/>
      </rPr>
      <t xml:space="preserve">）</t>
    </r>
  </si>
  <si>
    <r>
      <rPr>
        <sz val="10"/>
        <rFont val="Yu Gothic"/>
        <family val="0"/>
        <charset val="1"/>
      </rPr>
      <t xml:space="preserve">&lt;6</t>
    </r>
    <r>
      <rPr>
        <sz val="10"/>
        <rFont val="Noto Sans CJK SC"/>
        <family val="2"/>
      </rPr>
      <t xml:space="preserve">時間</t>
    </r>
  </si>
  <si>
    <r>
      <rPr>
        <sz val="10"/>
        <rFont val="Yu Gothic"/>
        <family val="0"/>
        <charset val="1"/>
      </rPr>
      <t xml:space="preserve">6–24</t>
    </r>
    <r>
      <rPr>
        <sz val="10"/>
        <rFont val="Noto Sans CJK SC"/>
        <family val="2"/>
      </rPr>
      <t xml:space="preserve">時間</t>
    </r>
  </si>
  <si>
    <r>
      <rPr>
        <sz val="10"/>
        <rFont val="Yu Gothic"/>
        <family val="0"/>
        <charset val="1"/>
      </rPr>
      <t xml:space="preserve">1–7</t>
    </r>
    <r>
      <rPr>
        <sz val="10"/>
        <rFont val="Noto Sans CJK SC"/>
        <family val="2"/>
      </rPr>
      <t xml:space="preserve">日</t>
    </r>
  </si>
  <si>
    <r>
      <rPr>
        <sz val="10"/>
        <rFont val="Yu Gothic"/>
        <family val="0"/>
        <charset val="1"/>
      </rPr>
      <t xml:space="preserve">&gt;7</t>
    </r>
    <r>
      <rPr>
        <sz val="10"/>
        <rFont val="Noto Sans CJK SC"/>
        <family val="2"/>
      </rPr>
      <t xml:space="preserve">日</t>
    </r>
  </si>
  <si>
    <r>
      <rPr>
        <b val="true"/>
        <sz val="13"/>
        <color rgb="FF1F3864"/>
        <rFont val="Yu Gothic"/>
        <family val="0"/>
        <charset val="1"/>
      </rPr>
      <t xml:space="preserve">h7 </t>
    </r>
    <r>
      <rPr>
        <b val="true"/>
        <sz val="13"/>
        <color rgb="FF1F3864"/>
        <rFont val="Noto Sans CJK SC"/>
        <family val="2"/>
      </rPr>
      <t xml:space="preserve">風力</t>
    </r>
    <r>
      <rPr>
        <b val="true"/>
        <sz val="13"/>
        <color rgb="FF1F3864"/>
        <rFont val="Yu Gothic"/>
        <family val="0"/>
        <charset val="1"/>
      </rPr>
      <t xml:space="preserve">1GW</t>
    </r>
    <r>
      <rPr>
        <b val="true"/>
        <sz val="13"/>
        <color rgb="FF1F3864"/>
        <rFont val="Noto Sans CJK SC"/>
        <family val="2"/>
      </rPr>
      <t xml:space="preserve">あたりの価格押し下げ効果（分位点回帰）— </t>
    </r>
    <r>
      <rPr>
        <b val="true"/>
        <sz val="13"/>
        <color rgb="FF1F3864"/>
        <rFont val="Yu Gothic"/>
        <family val="0"/>
        <charset val="1"/>
      </rPr>
      <t xml:space="preserve">Sakaguchi &amp; Fujii (2021) </t>
    </r>
    <r>
      <rPr>
        <b val="true"/>
        <sz val="13"/>
        <color rgb="FF1F3864"/>
        <rFont val="Noto Sans CJK SC"/>
        <family val="2"/>
      </rPr>
      <t xml:space="preserve">の再現と更新</t>
    </r>
  </si>
  <si>
    <r>
      <rPr>
        <sz val="9"/>
        <color rgb="FF68758A"/>
        <rFont val="Noto Sans CJK SC"/>
        <family val="2"/>
      </rPr>
      <t xml:space="preserve">被説明変数</t>
    </r>
    <r>
      <rPr>
        <sz val="9"/>
        <color rgb="FF68758A"/>
        <rFont val="Yu Gothic"/>
        <family val="0"/>
        <charset val="1"/>
      </rPr>
      <t xml:space="preserve">=</t>
    </r>
    <r>
      <rPr>
        <sz val="9"/>
        <color rgb="FF68758A"/>
        <rFont val="Noto Sans CJK SC"/>
        <family val="2"/>
      </rPr>
      <t xml:space="preserve">北海道エリアプライス（</t>
    </r>
    <r>
      <rPr>
        <sz val="9"/>
        <color rgb="FF68758A"/>
        <rFont val="Yu Gothic"/>
        <family val="0"/>
        <charset val="1"/>
      </rPr>
      <t xml:space="preserve">60</t>
    </r>
    <r>
      <rPr>
        <sz val="9"/>
        <color rgb="FF68758A"/>
        <rFont val="Noto Sans CJK SC"/>
        <family val="2"/>
      </rPr>
      <t xml:space="preserve">分）、説明変数</t>
    </r>
    <r>
      <rPr>
        <sz val="9"/>
        <color rgb="FF68758A"/>
        <rFont val="Yu Gothic"/>
        <family val="0"/>
        <charset val="1"/>
      </rPr>
      <t xml:space="preserve">=</t>
    </r>
    <r>
      <rPr>
        <sz val="9"/>
        <color rgb="FF68758A"/>
        <rFont val="Noto Sans CJK SC"/>
        <family val="2"/>
      </rPr>
      <t xml:space="preserve">風力・太陽光・需要（</t>
    </r>
    <r>
      <rPr>
        <sz val="9"/>
        <color rgb="FF68758A"/>
        <rFont val="Yu Gothic"/>
        <family val="0"/>
        <charset val="1"/>
      </rPr>
      <t xml:space="preserve">GW</t>
    </r>
    <r>
      <rPr>
        <sz val="9"/>
        <color rgb="FF68758A"/>
        <rFont val="Noto Sans CJK SC"/>
        <family val="2"/>
      </rPr>
      <t xml:space="preserve">）＋定数。係数は風力のメリットオーダー効果（負</t>
    </r>
    <r>
      <rPr>
        <sz val="9"/>
        <color rgb="FF68758A"/>
        <rFont val="Yu Gothic"/>
        <family val="0"/>
        <charset val="1"/>
      </rPr>
      <t xml:space="preserve">=</t>
    </r>
    <r>
      <rPr>
        <sz val="9"/>
        <color rgb="FF68758A"/>
        <rFont val="Noto Sans CJK SC"/>
        <family val="2"/>
      </rPr>
      <t xml:space="preserve">押し下げ）。</t>
    </r>
    <r>
      <rPr>
        <sz val="9"/>
        <color rgb="FF68758A"/>
        <rFont val="Yu Gothic"/>
        <family val="0"/>
        <charset val="1"/>
      </rPr>
      <t xml:space="preserve">FY2016-19</t>
    </r>
    <r>
      <rPr>
        <sz val="9"/>
        <color rgb="FF68758A"/>
        <rFont val="Noto Sans CJK SC"/>
        <family val="2"/>
      </rPr>
      <t xml:space="preserve">は</t>
    </r>
    <r>
      <rPr>
        <sz val="9"/>
        <color rgb="FF68758A"/>
        <rFont val="Yu Gothic"/>
        <family val="0"/>
        <charset val="1"/>
      </rPr>
      <t xml:space="preserve">Sakaguchi &amp; Fujii (2021)</t>
    </r>
    <r>
      <rPr>
        <sz val="9"/>
        <color rgb="FF68758A"/>
        <rFont val="Noto Sans CJK SC"/>
        <family val="2"/>
      </rPr>
      <t xml:space="preserve">の対象期間の再現、</t>
    </r>
    <r>
      <rPr>
        <sz val="9"/>
        <color rgb="FF68758A"/>
        <rFont val="Yu Gothic"/>
        <family val="0"/>
        <charset val="1"/>
      </rPr>
      <t xml:space="preserve">FY2023-25</t>
    </r>
    <r>
      <rPr>
        <sz val="9"/>
        <color rgb="FF68758A"/>
        <rFont val="Noto Sans CJK SC"/>
        <family val="2"/>
      </rPr>
      <t xml:space="preserve">は風力倍増後の更新。燃料価格水準の違いによるスケール差に注意（本番は</t>
    </r>
    <r>
      <rPr>
        <sz val="9"/>
        <color rgb="FF68758A"/>
        <rFont val="Yu Gothic"/>
        <family val="0"/>
        <charset val="1"/>
      </rPr>
      <t xml:space="preserve">HAR-X</t>
    </r>
    <r>
      <rPr>
        <sz val="9"/>
        <color rgb="FF68758A"/>
        <rFont val="Noto Sans CJK SC"/>
        <family val="2"/>
      </rPr>
      <t xml:space="preserve">等で精緻化）。再現</t>
    </r>
    <r>
      <rPr>
        <sz val="9"/>
        <color rgb="FF68758A"/>
        <rFont val="Yu Gothic"/>
        <family val="0"/>
        <charset val="1"/>
      </rPr>
      <t xml:space="preserve">: analysis/10</t>
    </r>
    <r>
      <rPr>
        <sz val="9"/>
        <color rgb="FF68758A"/>
        <rFont val="Noto Sans CJK SC"/>
        <family val="2"/>
      </rPr>
      <t xml:space="preserve">・</t>
    </r>
    <r>
      <rPr>
        <sz val="9"/>
        <color rgb="FF68758A"/>
        <rFont val="Yu Gothic"/>
        <family val="0"/>
        <charset val="1"/>
      </rPr>
      <t xml:space="preserve">11</t>
    </r>
  </si>
  <si>
    <t xml:space="preserve">分位点</t>
  </si>
  <si>
    <r>
      <rPr>
        <b val="true"/>
        <sz val="10"/>
        <color rgb="FFFFFFFF"/>
        <rFont val="Noto Sans CJK SC"/>
        <family val="2"/>
      </rPr>
      <t xml:space="preserve">風力係数 </t>
    </r>
    <r>
      <rPr>
        <b val="true"/>
        <sz val="10"/>
        <color rgb="FFFFFFFF"/>
        <rFont val="Yu Gothic"/>
        <family val="0"/>
        <charset val="1"/>
      </rPr>
      <t xml:space="preserve">FY2016-19</t>
    </r>
    <r>
      <rPr>
        <b val="true"/>
        <sz val="10"/>
        <color rgb="FFFFFFFF"/>
        <rFont val="Noto Sans CJK SC"/>
        <family val="2"/>
      </rPr>
      <t xml:space="preserve">（円</t>
    </r>
    <r>
      <rPr>
        <b val="true"/>
        <sz val="10"/>
        <color rgb="FFFFFFFF"/>
        <rFont val="Yu Gothic"/>
        <family val="0"/>
        <charset val="1"/>
      </rPr>
      <t xml:space="preserve">/kWh per GW</t>
    </r>
    <r>
      <rPr>
        <b val="true"/>
        <sz val="10"/>
        <color rgb="FFFFFFFF"/>
        <rFont val="Noto Sans CJK SC"/>
        <family val="2"/>
      </rPr>
      <t xml:space="preserve">）</t>
    </r>
  </si>
  <si>
    <r>
      <rPr>
        <b val="true"/>
        <sz val="10"/>
        <color rgb="FFFFFFFF"/>
        <rFont val="Noto Sans CJK SC"/>
        <family val="2"/>
      </rPr>
      <t xml:space="preserve">風力係数 </t>
    </r>
    <r>
      <rPr>
        <b val="true"/>
        <sz val="10"/>
        <color rgb="FFFFFFFF"/>
        <rFont val="Yu Gothic"/>
        <family val="0"/>
        <charset val="1"/>
      </rPr>
      <t xml:space="preserve">FY2023-25</t>
    </r>
    <r>
      <rPr>
        <b val="true"/>
        <sz val="10"/>
        <color rgb="FFFFFFFF"/>
        <rFont val="Noto Sans CJK SC"/>
        <family val="2"/>
      </rPr>
      <t xml:space="preserve">（円</t>
    </r>
    <r>
      <rPr>
        <b val="true"/>
        <sz val="10"/>
        <color rgb="FFFFFFFF"/>
        <rFont val="Yu Gothic"/>
        <family val="0"/>
        <charset val="1"/>
      </rPr>
      <t xml:space="preserve">/kWh per GW</t>
    </r>
    <r>
      <rPr>
        <b val="true"/>
        <sz val="10"/>
        <color rgb="FFFFFFFF"/>
        <rFont val="Noto Sans CJK SC"/>
        <family val="2"/>
      </rPr>
      <t xml:space="preserve">）</t>
    </r>
  </si>
  <si>
    <r>
      <rPr>
        <b val="true"/>
        <sz val="13"/>
        <color rgb="FF1F3864"/>
        <rFont val="Yu Gothic"/>
        <family val="0"/>
        <charset val="1"/>
      </rPr>
      <t xml:space="preserve">h8 </t>
    </r>
    <r>
      <rPr>
        <b val="true"/>
        <sz val="13"/>
        <color rgb="FF1F3864"/>
        <rFont val="Noto Sans CJK SC"/>
        <family val="2"/>
      </rPr>
      <t xml:space="preserve">昼間（</t>
    </r>
    <r>
      <rPr>
        <b val="true"/>
        <sz val="13"/>
        <color rgb="FF1F3864"/>
        <rFont val="Yu Gothic"/>
        <family val="0"/>
        <charset val="1"/>
      </rPr>
      <t xml:space="preserve">10-14</t>
    </r>
    <r>
      <rPr>
        <b val="true"/>
        <sz val="13"/>
        <color rgb="FF1F3864"/>
        <rFont val="Noto Sans CJK SC"/>
        <family val="2"/>
      </rPr>
      <t xml:space="preserve">時）の需要と供給の内訳（北海道、年度平均</t>
    </r>
    <r>
      <rPr>
        <b val="true"/>
        <sz val="13"/>
        <color rgb="FF1F3864"/>
        <rFont val="Yu Gothic"/>
        <family val="0"/>
        <charset val="1"/>
      </rPr>
      <t xml:space="preserve">GW</t>
    </r>
    <r>
      <rPr>
        <b val="true"/>
        <sz val="13"/>
        <color rgb="FF1F3864"/>
        <rFont val="Noto Sans CJK SC"/>
        <family val="2"/>
      </rPr>
      <t xml:space="preserve">）</t>
    </r>
  </si>
  <si>
    <r>
      <rPr>
        <sz val="9"/>
        <color rgb="FF68758A"/>
        <rFont val="Noto Sans CJK SC"/>
        <family val="2"/>
      </rPr>
      <t xml:space="preserve">九州版（需給内訳</t>
    </r>
    <r>
      <rPr>
        <sz val="9"/>
        <color rgb="FF68758A"/>
        <rFont val="Yu Gothic"/>
        <family val="0"/>
        <charset val="1"/>
      </rPr>
      <t xml:space="preserve">_</t>
    </r>
    <r>
      <rPr>
        <sz val="9"/>
        <color rgb="FF68758A"/>
        <rFont val="Noto Sans CJK SC"/>
        <family val="2"/>
      </rPr>
      <t xml:space="preserve">昼間）と同一の定義。太陽光・風力は制御前、出力制御は需要側に計上。泊は全期間停止（原子力</t>
    </r>
    <r>
      <rPr>
        <sz val="9"/>
        <color rgb="FF68758A"/>
        <rFont val="Yu Gothic"/>
        <family val="0"/>
        <charset val="1"/>
      </rPr>
      <t xml:space="preserve">=0</t>
    </r>
    <r>
      <rPr>
        <sz val="9"/>
        <color rgb="FF68758A"/>
        <rFont val="Noto Sans CJK SC"/>
        <family val="2"/>
      </rPr>
      <t xml:space="preserve">）。再現</t>
    </r>
    <r>
      <rPr>
        <sz val="9"/>
        <color rgb="FF68758A"/>
        <rFont val="Yu Gothic"/>
        <family val="0"/>
        <charset val="1"/>
      </rPr>
      <t xml:space="preserve">: analysis/10</t>
    </r>
    <r>
      <rPr>
        <sz val="9"/>
        <color rgb="FF68758A"/>
        <rFont val="Noto Sans CJK SC"/>
        <family val="2"/>
      </rPr>
      <t xml:space="preserve">・</t>
    </r>
    <r>
      <rPr>
        <sz val="9"/>
        <color rgb="FF68758A"/>
        <rFont val="Yu Gothic"/>
        <family val="0"/>
        <charset val="1"/>
      </rPr>
      <t xml:space="preserve">11</t>
    </r>
  </si>
  <si>
    <t xml:space="preserve">原子力</t>
  </si>
  <si>
    <t xml:space="preserve">火力</t>
  </si>
  <si>
    <t xml:space="preserve">一般水力</t>
  </si>
  <si>
    <t xml:space="preserve">地熱・バイオマス</t>
  </si>
  <si>
    <t xml:space="preserve">太陽光（制御前）</t>
  </si>
  <si>
    <t xml:space="preserve">風力（制御前）</t>
  </si>
  <si>
    <t xml:space="preserve">揚水・蓄電池 発電</t>
  </si>
  <si>
    <t xml:space="preserve">域外受電</t>
  </si>
  <si>
    <t xml:space="preserve">供給計</t>
  </si>
  <si>
    <t xml:space="preserve">エリア需要</t>
  </si>
  <si>
    <t xml:space="preserve">揚水・蓄電池 充電</t>
  </si>
  <si>
    <t xml:space="preserve">域外送電</t>
  </si>
  <si>
    <t xml:space="preserve">出力制御</t>
  </si>
  <si>
    <t xml:space="preserve">需要側計</t>
  </si>
</sst>
</file>

<file path=xl/styles.xml><?xml version="1.0" encoding="utf-8"?>
<styleSheet xmlns="http://schemas.openxmlformats.org/spreadsheetml/2006/main">
  <numFmts count="5">
    <numFmt numFmtId="164" formatCode="General"/>
    <numFmt numFmtId="165" formatCode="0.00"/>
    <numFmt numFmtId="166" formatCode="#,##0"/>
    <numFmt numFmtId="167" formatCode="0%"/>
    <numFmt numFmtId="168" formatCode="0.0"/>
  </numFmts>
  <fonts count="19">
    <font>
      <sz val="11"/>
      <color theme="1"/>
      <name val="Calibri"/>
      <family val="2"/>
      <charset val="1"/>
    </font>
    <font>
      <sz val="10"/>
      <name val="Arial"/>
      <family val="0"/>
    </font>
    <font>
      <sz val="10"/>
      <name val="Arial"/>
      <family val="0"/>
    </font>
    <font>
      <sz val="10"/>
      <name val="Arial"/>
      <family val="0"/>
    </font>
    <font>
      <b val="true"/>
      <sz val="14"/>
      <color rgb="FF1F3864"/>
      <name val="Noto Sans CJK SC"/>
      <family val="2"/>
    </font>
    <font>
      <b val="true"/>
      <sz val="14"/>
      <color rgb="FF1F3864"/>
      <name val="Yu Gothic"/>
      <family val="0"/>
      <charset val="1"/>
    </font>
    <font>
      <sz val="9"/>
      <color rgb="FF68758A"/>
      <name val="Noto Sans CJK SC"/>
      <family val="2"/>
    </font>
    <font>
      <sz val="9"/>
      <color rgb="FF68758A"/>
      <name val="Yu Gothic"/>
      <family val="0"/>
      <charset val="1"/>
    </font>
    <font>
      <b val="true"/>
      <sz val="10"/>
      <color rgb="FFFFFFFF"/>
      <name val="Noto Sans CJK SC"/>
      <family val="2"/>
    </font>
    <font>
      <sz val="10"/>
      <name val="Yu Gothic"/>
      <family val="0"/>
      <charset val="1"/>
    </font>
    <font>
      <sz val="10"/>
      <name val="Noto Sans CJK SC"/>
      <family val="2"/>
    </font>
    <font>
      <b val="true"/>
      <sz val="13"/>
      <color rgb="FF1F3864"/>
      <name val="Yu Gothic"/>
      <family val="0"/>
      <charset val="1"/>
    </font>
    <font>
      <b val="true"/>
      <sz val="13"/>
      <color rgb="FF1F3864"/>
      <name val="Noto Sans CJK SC"/>
      <family val="2"/>
    </font>
    <font>
      <b val="true"/>
      <sz val="10"/>
      <color rgb="FFFFFFFF"/>
      <name val="Yu Gothic"/>
      <family val="0"/>
      <charset val="1"/>
    </font>
    <font>
      <b val="true"/>
      <sz val="18"/>
      <color rgb="FF000000"/>
      <name val="Calibri"/>
      <family val="2"/>
    </font>
    <font>
      <b val="true"/>
      <sz val="18"/>
      <color rgb="FF000000"/>
      <name val="Noto Sans CJK SC"/>
      <family val="2"/>
    </font>
    <font>
      <sz val="10"/>
      <color rgb="FF000000"/>
      <name val="Calibri"/>
      <family val="2"/>
    </font>
    <font>
      <b val="true"/>
      <sz val="10"/>
      <color rgb="FF000000"/>
      <name val="Noto Sans CJK SC"/>
      <family val="2"/>
    </font>
    <font>
      <b val="true"/>
      <sz val="10"/>
      <color rgb="FF000000"/>
      <name val="Calibri"/>
      <family val="2"/>
    </font>
  </fonts>
  <fills count="3">
    <fill>
      <patternFill patternType="none"/>
    </fill>
    <fill>
      <patternFill patternType="gray125"/>
    </fill>
    <fill>
      <patternFill patternType="solid">
        <fgColor rgb="FF184F95"/>
        <bgColor rgb="FF1F3864"/>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6DA7EC"/>
      <rgbColor rgb="FF993366"/>
      <rgbColor rgb="FFFFFFCC"/>
      <rgbColor rgb="FFCDE2FB"/>
      <rgbColor rgb="FF660066"/>
      <rgbColor rgb="FFEC835A"/>
      <rgbColor rgb="FF3987E5"/>
      <rgbColor rgb="FFB7D3F6"/>
      <rgbColor rgb="FF000080"/>
      <rgbColor rgb="FFFF00FF"/>
      <rgbColor rgb="FFFFFF00"/>
      <rgbColor rgb="FF00FFFF"/>
      <rgbColor rgb="FF800080"/>
      <rgbColor rgb="FF800000"/>
      <rgbColor rgb="FF008080"/>
      <rgbColor rgb="FF0000FF"/>
      <rgbColor rgb="FF00CCFF"/>
      <rgbColor rgb="FFCCFFFF"/>
      <rgbColor rgb="FFCCFFCC"/>
      <rgbColor rgb="FFFFFF99"/>
      <rgbColor rgb="FFA6B481"/>
      <rgbColor rgb="FFFF99CC"/>
      <rgbColor rgb="FFCC99FF"/>
      <rgbColor rgb="FFF0B45A"/>
      <rgbColor rgb="FF2A78D6"/>
      <rgbColor rgb="FF33CCCC"/>
      <rgbColor rgb="FF99CC00"/>
      <rgbColor rgb="FFFFCC00"/>
      <rgbColor rgb="FFFF9900"/>
      <rgbColor rgb="FFFF6600"/>
      <rgbColor rgb="FF68758A"/>
      <rgbColor rgb="FF8496AD"/>
      <rgbColor rgb="FF1F3864"/>
      <rgbColor rgb="FF339966"/>
      <rgbColor rgb="FF003300"/>
      <rgbColor rgb="FF333300"/>
      <rgbColor rgb="FF993300"/>
      <rgbColor rgb="FF993366"/>
      <rgbColor rgb="FF184F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0.01円/kWh 約定コマ数（年度計）</a:t>
            </a:r>
          </a:p>
        </c:rich>
      </c:tx>
      <c:overlay val="0"/>
      <c:spPr>
        <a:noFill/>
        <a:ln w="0">
          <a:noFill/>
        </a:ln>
      </c:spPr>
    </c:title>
    <c:autoTitleDeleted val="0"/>
    <c:plotArea>
      <c:barChart>
        <c:barDir val="col"/>
        <c:grouping val="clustered"/>
        <c:varyColors val="0"/>
        <c:ser>
          <c:idx val="0"/>
          <c:order val="0"/>
          <c:tx>
            <c:strRef>
              <c:f>h1_床コマ数!B4</c:f>
              <c:strCache>
                <c:ptCount val="1"/>
                <c:pt idx="0">
                  <c:v>北海道 0.01円コマ数</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h1_床コマ数!$A$5:$A$14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h1_床コマ数!$B$5:$B$14</c:f>
              <c:numCache>
                <c:formatCode>General</c:formatCode>
                <c:ptCount val="10"/>
                <c:pt idx="0">
                  <c:v>16</c:v>
                </c:pt>
                <c:pt idx="1">
                  <c:v>0</c:v>
                </c:pt>
                <c:pt idx="2">
                  <c:v>0</c:v>
                </c:pt>
                <c:pt idx="3">
                  <c:v>0</c:v>
                </c:pt>
                <c:pt idx="4">
                  <c:v>79</c:v>
                </c:pt>
                <c:pt idx="5">
                  <c:v>177</c:v>
                </c:pt>
                <c:pt idx="6">
                  <c:v>861</c:v>
                </c:pt>
                <c:pt idx="7">
                  <c:v>621</c:v>
                </c:pt>
                <c:pt idx="8">
                  <c:v>348</c:v>
                </c:pt>
                <c:pt idx="9">
                  <c:v>473</c:v>
                </c:pt>
              </c:numCache>
            </c:numRef>
          </c:val>
        </c:ser>
        <c:ser>
          <c:idx val="1"/>
          <c:order val="1"/>
          <c:tx>
            <c:strRef>
              <c:f>h1_床コマ数!E4</c:f>
              <c:strCache>
                <c:ptCount val="1"/>
                <c:pt idx="0">
                  <c:v>（参考）九州 0.01円コマ数</c:v>
                </c:pt>
              </c:strCache>
            </c:strRef>
          </c:tx>
          <c:spPr>
            <a:solidFill>
              <a:srgbClr val="cde2f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h1_床コマ数!$A$5:$A$14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h1_床コマ数!$E$5:$E$14</c:f>
              <c:numCache>
                <c:formatCode>General</c:formatCode>
                <c:ptCount val="10"/>
                <c:pt idx="0">
                  <c:v>0</c:v>
                </c:pt>
                <c:pt idx="1">
                  <c:v>0</c:v>
                </c:pt>
                <c:pt idx="2">
                  <c:v>39</c:v>
                </c:pt>
                <c:pt idx="3">
                  <c:v>693</c:v>
                </c:pt>
                <c:pt idx="4">
                  <c:v>867</c:v>
                </c:pt>
                <c:pt idx="5">
                  <c:v>1515</c:v>
                </c:pt>
                <c:pt idx="6">
                  <c:v>1909</c:v>
                </c:pt>
                <c:pt idx="7">
                  <c:v>2178</c:v>
                </c:pt>
                <c:pt idx="8">
                  <c:v>1167</c:v>
                </c:pt>
                <c:pt idx="9">
                  <c:v>983</c:v>
                </c:pt>
              </c:numCache>
            </c:numRef>
          </c:val>
        </c:ser>
        <c:gapWidth val="150"/>
        <c:overlap val="0"/>
        <c:axId val="24722909"/>
        <c:axId val="29077939"/>
      </c:barChart>
      <c:catAx>
        <c:axId val="2472290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年度</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077939"/>
        <c:crosses val="autoZero"/>
        <c:auto val="1"/>
        <c:lblAlgn val="ctr"/>
        <c:lblOffset val="100"/>
        <c:noMultiLvlLbl val="0"/>
      </c:catAx>
      <c:valAx>
        <c:axId val="2907793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コマ数</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72290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出力制御実施日数（北海道）</a:t>
            </a:r>
          </a:p>
        </c:rich>
      </c:tx>
      <c:overlay val="0"/>
      <c:spPr>
        <a:noFill/>
        <a:ln w="0">
          <a:noFill/>
        </a:ln>
      </c:spPr>
    </c:title>
    <c:autoTitleDeleted val="0"/>
    <c:plotArea>
      <c:barChart>
        <c:barDir val="col"/>
        <c:grouping val="clustered"/>
        <c:varyColors val="0"/>
        <c:ser>
          <c:idx val="0"/>
          <c:order val="0"/>
          <c:tx>
            <c:strRef>
              <c:f>h1_床コマ数!C4</c:f>
              <c:strCache>
                <c:ptCount val="1"/>
                <c:pt idx="0">
                  <c:v>出力制御実施日数</c:v>
                </c:pt>
              </c:strCache>
            </c:strRef>
          </c:tx>
          <c:spPr>
            <a:solidFill>
              <a:srgbClr val="ec835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h1_床コマ数!$A$5:$A$14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h1_床コマ数!$C$5:$C$14</c:f>
              <c:numCache>
                <c:formatCode>General</c:formatCode>
                <c:ptCount val="10"/>
                <c:pt idx="0">
                  <c:v>0</c:v>
                </c:pt>
                <c:pt idx="1">
                  <c:v>0</c:v>
                </c:pt>
                <c:pt idx="2">
                  <c:v>0</c:v>
                </c:pt>
                <c:pt idx="3">
                  <c:v>0</c:v>
                </c:pt>
                <c:pt idx="4">
                  <c:v>0</c:v>
                </c:pt>
                <c:pt idx="5">
                  <c:v>0</c:v>
                </c:pt>
                <c:pt idx="6">
                  <c:v>5</c:v>
                </c:pt>
                <c:pt idx="7">
                  <c:v>2</c:v>
                </c:pt>
                <c:pt idx="8">
                  <c:v>2</c:v>
                </c:pt>
                <c:pt idx="9">
                  <c:v>18</c:v>
                </c:pt>
              </c:numCache>
            </c:numRef>
          </c:val>
        </c:ser>
        <c:gapWidth val="150"/>
        <c:overlap val="0"/>
        <c:axId val="83922381"/>
        <c:axId val="10175038"/>
      </c:barChart>
      <c:catAx>
        <c:axId val="8392238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年度</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175038"/>
        <c:crosses val="autoZero"/>
        <c:auto val="1"/>
        <c:lblAlgn val="ctr"/>
        <c:lblOffset val="100"/>
        <c:noMultiLvlLbl val="0"/>
      </c:catAx>
      <c:valAx>
        <c:axId val="1017503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日数</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92238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時間帯別平均価格カーブ（北海道、円/kWh）</a:t>
            </a:r>
          </a:p>
        </c:rich>
      </c:tx>
      <c:overlay val="0"/>
      <c:spPr>
        <a:noFill/>
        <a:ln w="0">
          <a:noFill/>
        </a:ln>
      </c:spPr>
    </c:title>
    <c:autoTitleDeleted val="0"/>
    <c:plotArea>
      <c:lineChart>
        <c:grouping val="standard"/>
        <c:varyColors val="0"/>
        <c:ser>
          <c:idx val="0"/>
          <c:order val="0"/>
          <c:tx>
            <c:strRef>
              <c:f>h2_ダックカーブ!B4</c:f>
              <c:strCache>
                <c:ptCount val="1"/>
                <c:pt idx="0">
                  <c:v>FY2016</c:v>
                </c:pt>
              </c:strCache>
            </c:strRef>
          </c:tx>
          <c:spPr>
            <a:solidFill>
              <a:srgbClr val="b7d3f6"/>
            </a:solidFill>
            <a:ln w="21960">
              <a:solidFill>
                <a:srgbClr val="b7d3f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h2_ダックカーブ!$A$5:$A$52</c:f>
              <c:strCache>
                <c:ptCount val="48"/>
                <c:pt idx="0">
                  <c:v>0.00</c:v>
                </c:pt>
                <c:pt idx="1">
                  <c:v>0.50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pt idx="15">
                  <c:v>7.50</c:v>
                </c:pt>
                <c:pt idx="16">
                  <c:v>8.00</c:v>
                </c:pt>
                <c:pt idx="17">
                  <c:v>8.50</c:v>
                </c:pt>
                <c:pt idx="18">
                  <c:v>9.00</c:v>
                </c:pt>
                <c:pt idx="19">
                  <c:v>9.50</c:v>
                </c:pt>
                <c:pt idx="20">
                  <c:v>10.00</c:v>
                </c:pt>
                <c:pt idx="21">
                  <c:v>10.50</c:v>
                </c:pt>
                <c:pt idx="22">
                  <c:v>11.00</c:v>
                </c:pt>
                <c:pt idx="23">
                  <c:v>11.50</c:v>
                </c:pt>
                <c:pt idx="24">
                  <c:v>12.00</c:v>
                </c:pt>
                <c:pt idx="25">
                  <c:v>12.50</c:v>
                </c:pt>
                <c:pt idx="26">
                  <c:v>13.00</c:v>
                </c:pt>
                <c:pt idx="27">
                  <c:v>13.50</c:v>
                </c:pt>
                <c:pt idx="28">
                  <c:v>14.00</c:v>
                </c:pt>
                <c:pt idx="29">
                  <c:v>14.50</c:v>
                </c:pt>
                <c:pt idx="30">
                  <c:v>15.00</c:v>
                </c:pt>
                <c:pt idx="31">
                  <c:v>15.50</c:v>
                </c:pt>
                <c:pt idx="32">
                  <c:v>16.00</c:v>
                </c:pt>
                <c:pt idx="33">
                  <c:v>16.50</c:v>
                </c:pt>
                <c:pt idx="34">
                  <c:v>17.00</c:v>
                </c:pt>
                <c:pt idx="35">
                  <c:v>17.50</c:v>
                </c:pt>
                <c:pt idx="36">
                  <c:v>18.00</c:v>
                </c:pt>
                <c:pt idx="37">
                  <c:v>18.50</c:v>
                </c:pt>
                <c:pt idx="38">
                  <c:v>19.00</c:v>
                </c:pt>
                <c:pt idx="39">
                  <c:v>19.50</c:v>
                </c:pt>
                <c:pt idx="40">
                  <c:v>20.00</c:v>
                </c:pt>
                <c:pt idx="41">
                  <c:v>20.50</c:v>
                </c:pt>
                <c:pt idx="42">
                  <c:v>21.00</c:v>
                </c:pt>
                <c:pt idx="43">
                  <c:v>21.50</c:v>
                </c:pt>
                <c:pt idx="44">
                  <c:v>22.00</c:v>
                </c:pt>
                <c:pt idx="45">
                  <c:v>22.50</c:v>
                </c:pt>
                <c:pt idx="46">
                  <c:v>23.00</c:v>
                </c:pt>
                <c:pt idx="47">
                  <c:v>23.50</c:v>
                </c:pt>
              </c:strCache>
            </c:strRef>
          </c:cat>
          <c:val>
            <c:numRef>
              <c:f>h2_ダックカーブ!$B$5:$B$52</c:f>
              <c:numCache>
                <c:formatCode>0.00</c:formatCode>
                <c:ptCount val="48"/>
                <c:pt idx="0">
                  <c:v>8.64227397260274</c:v>
                </c:pt>
                <c:pt idx="1">
                  <c:v>8.32679452054795</c:v>
                </c:pt>
                <c:pt idx="2">
                  <c:v>8.1818904109589</c:v>
                </c:pt>
                <c:pt idx="3">
                  <c:v>8.09093150684932</c:v>
                </c:pt>
                <c:pt idx="4">
                  <c:v>8.04709589041096</c:v>
                </c:pt>
                <c:pt idx="5">
                  <c:v>8.02098630136986</c:v>
                </c:pt>
                <c:pt idx="6">
                  <c:v>7.99802739726028</c:v>
                </c:pt>
                <c:pt idx="7">
                  <c:v>7.98241095890411</c:v>
                </c:pt>
                <c:pt idx="8">
                  <c:v>7.98619178082192</c:v>
                </c:pt>
                <c:pt idx="9">
                  <c:v>8.02813698630137</c:v>
                </c:pt>
                <c:pt idx="10">
                  <c:v>8.11441095890411</c:v>
                </c:pt>
                <c:pt idx="11">
                  <c:v>8.23471232876712</c:v>
                </c:pt>
                <c:pt idx="12">
                  <c:v>8.75649315068493</c:v>
                </c:pt>
                <c:pt idx="13">
                  <c:v>9.42276712328767</c:v>
                </c:pt>
                <c:pt idx="14">
                  <c:v>10.2963561643836</c:v>
                </c:pt>
                <c:pt idx="15">
                  <c:v>10.5758082191781</c:v>
                </c:pt>
                <c:pt idx="16">
                  <c:v>11.1337260273973</c:v>
                </c:pt>
                <c:pt idx="17">
                  <c:v>12.4973698630137</c:v>
                </c:pt>
                <c:pt idx="18">
                  <c:v>13.4846301369863</c:v>
                </c:pt>
                <c:pt idx="19">
                  <c:v>13.5973424657534</c:v>
                </c:pt>
                <c:pt idx="20">
                  <c:v>13.7228219178082</c:v>
                </c:pt>
                <c:pt idx="21">
                  <c:v>13.7149315068493</c:v>
                </c:pt>
                <c:pt idx="22">
                  <c:v>13.9768493150685</c:v>
                </c:pt>
                <c:pt idx="23">
                  <c:v>13.8255068493151</c:v>
                </c:pt>
                <c:pt idx="24">
                  <c:v>12.2957534246575</c:v>
                </c:pt>
                <c:pt idx="25">
                  <c:v>12.4451506849315</c:v>
                </c:pt>
                <c:pt idx="26">
                  <c:v>14.0291506849315</c:v>
                </c:pt>
                <c:pt idx="27">
                  <c:v>14.7909589041096</c:v>
                </c:pt>
                <c:pt idx="28">
                  <c:v>15.3262465753425</c:v>
                </c:pt>
                <c:pt idx="29">
                  <c:v>16.4150410958904</c:v>
                </c:pt>
                <c:pt idx="30">
                  <c:v>15.9730136986301</c:v>
                </c:pt>
                <c:pt idx="31">
                  <c:v>17.469698630137</c:v>
                </c:pt>
                <c:pt idx="32">
                  <c:v>18.0093698630137</c:v>
                </c:pt>
                <c:pt idx="33">
                  <c:v>18.052602739726</c:v>
                </c:pt>
                <c:pt idx="34">
                  <c:v>16.7482191780822</c:v>
                </c:pt>
                <c:pt idx="35">
                  <c:v>16.0383287671233</c:v>
                </c:pt>
                <c:pt idx="36">
                  <c:v>15.5202191780822</c:v>
                </c:pt>
                <c:pt idx="37">
                  <c:v>15.1984383561644</c:v>
                </c:pt>
                <c:pt idx="38">
                  <c:v>14.3218630136986</c:v>
                </c:pt>
                <c:pt idx="39">
                  <c:v>13.4070684931507</c:v>
                </c:pt>
                <c:pt idx="40">
                  <c:v>12.7002465753425</c:v>
                </c:pt>
                <c:pt idx="41">
                  <c:v>11.8153150684932</c:v>
                </c:pt>
                <c:pt idx="42">
                  <c:v>11.0024383561644</c:v>
                </c:pt>
                <c:pt idx="43">
                  <c:v>10.1494794520548</c:v>
                </c:pt>
                <c:pt idx="44">
                  <c:v>10.7944383561644</c:v>
                </c:pt>
                <c:pt idx="45">
                  <c:v>9.98613698630137</c:v>
                </c:pt>
                <c:pt idx="46">
                  <c:v>9.25715068493151</c:v>
                </c:pt>
                <c:pt idx="47">
                  <c:v>8.75871232876712</c:v>
                </c:pt>
              </c:numCache>
            </c:numRef>
          </c:val>
          <c:smooth val="0"/>
        </c:ser>
        <c:ser>
          <c:idx val="1"/>
          <c:order val="1"/>
          <c:tx>
            <c:strRef>
              <c:f>h2_ダックカーブ!C4</c:f>
              <c:strCache>
                <c:ptCount val="1"/>
                <c:pt idx="0">
                  <c:v>FY2019</c:v>
                </c:pt>
              </c:strCache>
            </c:strRef>
          </c:tx>
          <c:spPr>
            <a:solidFill>
              <a:srgbClr val="6da7ec"/>
            </a:solidFill>
            <a:ln w="21960">
              <a:solidFill>
                <a:srgbClr val="6da7e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h2_ダックカーブ!$A$5:$A$52</c:f>
              <c:strCache>
                <c:ptCount val="48"/>
                <c:pt idx="0">
                  <c:v>0.00</c:v>
                </c:pt>
                <c:pt idx="1">
                  <c:v>0.50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pt idx="15">
                  <c:v>7.50</c:v>
                </c:pt>
                <c:pt idx="16">
                  <c:v>8.00</c:v>
                </c:pt>
                <c:pt idx="17">
                  <c:v>8.50</c:v>
                </c:pt>
                <c:pt idx="18">
                  <c:v>9.00</c:v>
                </c:pt>
                <c:pt idx="19">
                  <c:v>9.50</c:v>
                </c:pt>
                <c:pt idx="20">
                  <c:v>10.00</c:v>
                </c:pt>
                <c:pt idx="21">
                  <c:v>10.50</c:v>
                </c:pt>
                <c:pt idx="22">
                  <c:v>11.00</c:v>
                </c:pt>
                <c:pt idx="23">
                  <c:v>11.50</c:v>
                </c:pt>
                <c:pt idx="24">
                  <c:v>12.00</c:v>
                </c:pt>
                <c:pt idx="25">
                  <c:v>12.50</c:v>
                </c:pt>
                <c:pt idx="26">
                  <c:v>13.00</c:v>
                </c:pt>
                <c:pt idx="27">
                  <c:v>13.50</c:v>
                </c:pt>
                <c:pt idx="28">
                  <c:v>14.00</c:v>
                </c:pt>
                <c:pt idx="29">
                  <c:v>14.50</c:v>
                </c:pt>
                <c:pt idx="30">
                  <c:v>15.00</c:v>
                </c:pt>
                <c:pt idx="31">
                  <c:v>15.50</c:v>
                </c:pt>
                <c:pt idx="32">
                  <c:v>16.00</c:v>
                </c:pt>
                <c:pt idx="33">
                  <c:v>16.50</c:v>
                </c:pt>
                <c:pt idx="34">
                  <c:v>17.00</c:v>
                </c:pt>
                <c:pt idx="35">
                  <c:v>17.50</c:v>
                </c:pt>
                <c:pt idx="36">
                  <c:v>18.00</c:v>
                </c:pt>
                <c:pt idx="37">
                  <c:v>18.50</c:v>
                </c:pt>
                <c:pt idx="38">
                  <c:v>19.00</c:v>
                </c:pt>
                <c:pt idx="39">
                  <c:v>19.50</c:v>
                </c:pt>
                <c:pt idx="40">
                  <c:v>20.00</c:v>
                </c:pt>
                <c:pt idx="41">
                  <c:v>20.50</c:v>
                </c:pt>
                <c:pt idx="42">
                  <c:v>21.00</c:v>
                </c:pt>
                <c:pt idx="43">
                  <c:v>21.50</c:v>
                </c:pt>
                <c:pt idx="44">
                  <c:v>22.00</c:v>
                </c:pt>
                <c:pt idx="45">
                  <c:v>22.50</c:v>
                </c:pt>
                <c:pt idx="46">
                  <c:v>23.00</c:v>
                </c:pt>
                <c:pt idx="47">
                  <c:v>23.50</c:v>
                </c:pt>
              </c:strCache>
            </c:strRef>
          </c:cat>
          <c:val>
            <c:numRef>
              <c:f>h2_ダックカーブ!$C$5:$C$52</c:f>
              <c:numCache>
                <c:formatCode>0.00</c:formatCode>
                <c:ptCount val="48"/>
                <c:pt idx="0">
                  <c:v>9.0757650273224</c:v>
                </c:pt>
                <c:pt idx="1">
                  <c:v>8.58267759562842</c:v>
                </c:pt>
                <c:pt idx="2">
                  <c:v>8.25357923497268</c:v>
                </c:pt>
                <c:pt idx="3">
                  <c:v>8.04254098360656</c:v>
                </c:pt>
                <c:pt idx="4">
                  <c:v>7.97808743169399</c:v>
                </c:pt>
                <c:pt idx="5">
                  <c:v>7.88997267759563</c:v>
                </c:pt>
                <c:pt idx="6">
                  <c:v>7.98975409836066</c:v>
                </c:pt>
                <c:pt idx="7">
                  <c:v>7.98382513661202</c:v>
                </c:pt>
                <c:pt idx="8">
                  <c:v>8.02494535519126</c:v>
                </c:pt>
                <c:pt idx="9">
                  <c:v>8.09896174863388</c:v>
                </c:pt>
                <c:pt idx="10">
                  <c:v>8.26024590163934</c:v>
                </c:pt>
                <c:pt idx="11">
                  <c:v>8.54467213114754</c:v>
                </c:pt>
                <c:pt idx="12">
                  <c:v>8.76803278688525</c:v>
                </c:pt>
                <c:pt idx="13">
                  <c:v>9.32907103825137</c:v>
                </c:pt>
                <c:pt idx="14">
                  <c:v>9.69215846994536</c:v>
                </c:pt>
                <c:pt idx="15">
                  <c:v>9.70453551912568</c:v>
                </c:pt>
                <c:pt idx="16">
                  <c:v>9.98360655737705</c:v>
                </c:pt>
                <c:pt idx="17">
                  <c:v>10.5133879781421</c:v>
                </c:pt>
                <c:pt idx="18">
                  <c:v>11.0945081967213</c:v>
                </c:pt>
                <c:pt idx="19">
                  <c:v>10.7960382513661</c:v>
                </c:pt>
                <c:pt idx="20">
                  <c:v>10.3332513661202</c:v>
                </c:pt>
                <c:pt idx="21">
                  <c:v>10.3607923497268</c:v>
                </c:pt>
                <c:pt idx="22">
                  <c:v>10.258825136612</c:v>
                </c:pt>
                <c:pt idx="23">
                  <c:v>10.1022677595628</c:v>
                </c:pt>
                <c:pt idx="24">
                  <c:v>9.14106557377049</c:v>
                </c:pt>
                <c:pt idx="25">
                  <c:v>9.17866120218579</c:v>
                </c:pt>
                <c:pt idx="26">
                  <c:v>10.1328415300546</c:v>
                </c:pt>
                <c:pt idx="27">
                  <c:v>10.6743715846995</c:v>
                </c:pt>
                <c:pt idx="28">
                  <c:v>11.3102732240437</c:v>
                </c:pt>
                <c:pt idx="29">
                  <c:v>12.0911475409836</c:v>
                </c:pt>
                <c:pt idx="30">
                  <c:v>12.7655464480874</c:v>
                </c:pt>
                <c:pt idx="31">
                  <c:v>13.8296721311475</c:v>
                </c:pt>
                <c:pt idx="32">
                  <c:v>14.9858743169399</c:v>
                </c:pt>
                <c:pt idx="33">
                  <c:v>15.7549180327869</c:v>
                </c:pt>
                <c:pt idx="34">
                  <c:v>15.1003278688525</c:v>
                </c:pt>
                <c:pt idx="35">
                  <c:v>15.112131147541</c:v>
                </c:pt>
                <c:pt idx="36">
                  <c:v>15.4103551912568</c:v>
                </c:pt>
                <c:pt idx="37">
                  <c:v>15.1155464480874</c:v>
                </c:pt>
                <c:pt idx="38">
                  <c:v>14.2814207650273</c:v>
                </c:pt>
                <c:pt idx="39">
                  <c:v>13.3922404371585</c:v>
                </c:pt>
                <c:pt idx="40">
                  <c:v>12.8627868852459</c:v>
                </c:pt>
                <c:pt idx="41">
                  <c:v>12.1724590163934</c:v>
                </c:pt>
                <c:pt idx="42">
                  <c:v>11.334781420765</c:v>
                </c:pt>
                <c:pt idx="43">
                  <c:v>10.802650273224</c:v>
                </c:pt>
                <c:pt idx="44">
                  <c:v>10.6865573770492</c:v>
                </c:pt>
                <c:pt idx="45">
                  <c:v>10.4025956284153</c:v>
                </c:pt>
                <c:pt idx="46">
                  <c:v>9.75773224043716</c:v>
                </c:pt>
                <c:pt idx="47">
                  <c:v>9.53871584699454</c:v>
                </c:pt>
              </c:numCache>
            </c:numRef>
          </c:val>
          <c:smooth val="0"/>
        </c:ser>
        <c:ser>
          <c:idx val="2"/>
          <c:order val="2"/>
          <c:tx>
            <c:strRef>
              <c:f>h2_ダックカーブ!D4</c:f>
              <c:strCache>
                <c:ptCount val="1"/>
                <c:pt idx="0">
                  <c:v>FY2023</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h2_ダックカーブ!$A$5:$A$52</c:f>
              <c:strCache>
                <c:ptCount val="48"/>
                <c:pt idx="0">
                  <c:v>0.00</c:v>
                </c:pt>
                <c:pt idx="1">
                  <c:v>0.50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pt idx="15">
                  <c:v>7.50</c:v>
                </c:pt>
                <c:pt idx="16">
                  <c:v>8.00</c:v>
                </c:pt>
                <c:pt idx="17">
                  <c:v>8.50</c:v>
                </c:pt>
                <c:pt idx="18">
                  <c:v>9.00</c:v>
                </c:pt>
                <c:pt idx="19">
                  <c:v>9.50</c:v>
                </c:pt>
                <c:pt idx="20">
                  <c:v>10.00</c:v>
                </c:pt>
                <c:pt idx="21">
                  <c:v>10.50</c:v>
                </c:pt>
                <c:pt idx="22">
                  <c:v>11.00</c:v>
                </c:pt>
                <c:pt idx="23">
                  <c:v>11.50</c:v>
                </c:pt>
                <c:pt idx="24">
                  <c:v>12.00</c:v>
                </c:pt>
                <c:pt idx="25">
                  <c:v>12.50</c:v>
                </c:pt>
                <c:pt idx="26">
                  <c:v>13.00</c:v>
                </c:pt>
                <c:pt idx="27">
                  <c:v>13.50</c:v>
                </c:pt>
                <c:pt idx="28">
                  <c:v>14.00</c:v>
                </c:pt>
                <c:pt idx="29">
                  <c:v>14.50</c:v>
                </c:pt>
                <c:pt idx="30">
                  <c:v>15.00</c:v>
                </c:pt>
                <c:pt idx="31">
                  <c:v>15.50</c:v>
                </c:pt>
                <c:pt idx="32">
                  <c:v>16.00</c:v>
                </c:pt>
                <c:pt idx="33">
                  <c:v>16.50</c:v>
                </c:pt>
                <c:pt idx="34">
                  <c:v>17.00</c:v>
                </c:pt>
                <c:pt idx="35">
                  <c:v>17.50</c:v>
                </c:pt>
                <c:pt idx="36">
                  <c:v>18.00</c:v>
                </c:pt>
                <c:pt idx="37">
                  <c:v>18.50</c:v>
                </c:pt>
                <c:pt idx="38">
                  <c:v>19.00</c:v>
                </c:pt>
                <c:pt idx="39">
                  <c:v>19.50</c:v>
                </c:pt>
                <c:pt idx="40">
                  <c:v>20.00</c:v>
                </c:pt>
                <c:pt idx="41">
                  <c:v>20.50</c:v>
                </c:pt>
                <c:pt idx="42">
                  <c:v>21.00</c:v>
                </c:pt>
                <c:pt idx="43">
                  <c:v>21.50</c:v>
                </c:pt>
                <c:pt idx="44">
                  <c:v>22.00</c:v>
                </c:pt>
                <c:pt idx="45">
                  <c:v>22.50</c:v>
                </c:pt>
                <c:pt idx="46">
                  <c:v>23.00</c:v>
                </c:pt>
                <c:pt idx="47">
                  <c:v>23.50</c:v>
                </c:pt>
              </c:strCache>
            </c:strRef>
          </c:cat>
          <c:val>
            <c:numRef>
              <c:f>h2_ダックカーブ!$D$5:$D$52</c:f>
              <c:numCache>
                <c:formatCode>0.00</c:formatCode>
                <c:ptCount val="48"/>
                <c:pt idx="0">
                  <c:v>12.3151092896175</c:v>
                </c:pt>
                <c:pt idx="1">
                  <c:v>11.6987158469945</c:v>
                </c:pt>
                <c:pt idx="2">
                  <c:v>11.4940163934426</c:v>
                </c:pt>
                <c:pt idx="3">
                  <c:v>11.4299726775956</c:v>
                </c:pt>
                <c:pt idx="4">
                  <c:v>11.4747540983607</c:v>
                </c:pt>
                <c:pt idx="5">
                  <c:v>11.5090983606557</c:v>
                </c:pt>
                <c:pt idx="6">
                  <c:v>11.5953278688525</c:v>
                </c:pt>
                <c:pt idx="7">
                  <c:v>11.6359016393443</c:v>
                </c:pt>
                <c:pt idx="8">
                  <c:v>11.7247267759563</c:v>
                </c:pt>
                <c:pt idx="9">
                  <c:v>11.7810928961749</c:v>
                </c:pt>
                <c:pt idx="10">
                  <c:v>11.9037431693989</c:v>
                </c:pt>
                <c:pt idx="11">
                  <c:v>11.8362295081967</c:v>
                </c:pt>
                <c:pt idx="12">
                  <c:v>11.7369398907104</c:v>
                </c:pt>
                <c:pt idx="13">
                  <c:v>11.5515846994536</c:v>
                </c:pt>
                <c:pt idx="14">
                  <c:v>10.8559836065574</c:v>
                </c:pt>
                <c:pt idx="15">
                  <c:v>10.0753551912568</c:v>
                </c:pt>
                <c:pt idx="16">
                  <c:v>9.90169398907104</c:v>
                </c:pt>
                <c:pt idx="17">
                  <c:v>9.7192349726776</c:v>
                </c:pt>
                <c:pt idx="18">
                  <c:v>9.32734972677596</c:v>
                </c:pt>
                <c:pt idx="19">
                  <c:v>8.59172131147541</c:v>
                </c:pt>
                <c:pt idx="20">
                  <c:v>7.86428961748634</c:v>
                </c:pt>
                <c:pt idx="21">
                  <c:v>7.48469945355191</c:v>
                </c:pt>
                <c:pt idx="22">
                  <c:v>7.2848087431694</c:v>
                </c:pt>
                <c:pt idx="23">
                  <c:v>7.17912568306011</c:v>
                </c:pt>
                <c:pt idx="24">
                  <c:v>6.19322404371585</c:v>
                </c:pt>
                <c:pt idx="25">
                  <c:v>6.47748633879782</c:v>
                </c:pt>
                <c:pt idx="26">
                  <c:v>7.83915300546448</c:v>
                </c:pt>
                <c:pt idx="27">
                  <c:v>8.7624043715847</c:v>
                </c:pt>
                <c:pt idx="28">
                  <c:v>9.39475409836066</c:v>
                </c:pt>
                <c:pt idx="29">
                  <c:v>10.5669672131148</c:v>
                </c:pt>
                <c:pt idx="30">
                  <c:v>11.5353551912568</c:v>
                </c:pt>
                <c:pt idx="31">
                  <c:v>12.7603278688525</c:v>
                </c:pt>
                <c:pt idx="32">
                  <c:v>13.7803005464481</c:v>
                </c:pt>
                <c:pt idx="33">
                  <c:v>14.9021584699454</c:v>
                </c:pt>
                <c:pt idx="34">
                  <c:v>15.1453825136612</c:v>
                </c:pt>
                <c:pt idx="35">
                  <c:v>15.5423770491803</c:v>
                </c:pt>
                <c:pt idx="36">
                  <c:v>15.5031147540984</c:v>
                </c:pt>
                <c:pt idx="37">
                  <c:v>15.5210655737705</c:v>
                </c:pt>
                <c:pt idx="38">
                  <c:v>15.144781420765</c:v>
                </c:pt>
                <c:pt idx="39">
                  <c:v>14.7225683060109</c:v>
                </c:pt>
                <c:pt idx="40">
                  <c:v>14.426912568306</c:v>
                </c:pt>
                <c:pt idx="41">
                  <c:v>13.9881967213115</c:v>
                </c:pt>
                <c:pt idx="42">
                  <c:v>13.5642896174863</c:v>
                </c:pt>
                <c:pt idx="43">
                  <c:v>12.9951092896175</c:v>
                </c:pt>
                <c:pt idx="44">
                  <c:v>12.6595901639344</c:v>
                </c:pt>
                <c:pt idx="45">
                  <c:v>12.312349726776</c:v>
                </c:pt>
                <c:pt idx="46">
                  <c:v>12.1334699453552</c:v>
                </c:pt>
                <c:pt idx="47">
                  <c:v>11.5120218579235</c:v>
                </c:pt>
              </c:numCache>
            </c:numRef>
          </c:val>
          <c:smooth val="0"/>
        </c:ser>
        <c:ser>
          <c:idx val="3"/>
          <c:order val="3"/>
          <c:tx>
            <c:strRef>
              <c:f>h2_ダックカーブ!E4</c:f>
              <c:strCache>
                <c:ptCount val="1"/>
                <c:pt idx="0">
                  <c:v>FY2025</c:v>
                </c:pt>
              </c:strCache>
            </c:strRef>
          </c:tx>
          <c:spPr>
            <a:solidFill>
              <a:srgbClr val="184f95"/>
            </a:solidFill>
            <a:ln w="21960">
              <a:solidFill>
                <a:srgbClr val="184f9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h2_ダックカーブ!$A$5:$A$52</c:f>
              <c:strCache>
                <c:ptCount val="48"/>
                <c:pt idx="0">
                  <c:v>0.00</c:v>
                </c:pt>
                <c:pt idx="1">
                  <c:v>0.50</c:v>
                </c:pt>
                <c:pt idx="2">
                  <c:v>1.00</c:v>
                </c:pt>
                <c:pt idx="3">
                  <c:v>1.50</c:v>
                </c:pt>
                <c:pt idx="4">
                  <c:v>2.00</c:v>
                </c:pt>
                <c:pt idx="5">
                  <c:v>2.50</c:v>
                </c:pt>
                <c:pt idx="6">
                  <c:v>3.00</c:v>
                </c:pt>
                <c:pt idx="7">
                  <c:v>3.50</c:v>
                </c:pt>
                <c:pt idx="8">
                  <c:v>4.00</c:v>
                </c:pt>
                <c:pt idx="9">
                  <c:v>4.50</c:v>
                </c:pt>
                <c:pt idx="10">
                  <c:v>5.00</c:v>
                </c:pt>
                <c:pt idx="11">
                  <c:v>5.50</c:v>
                </c:pt>
                <c:pt idx="12">
                  <c:v>6.00</c:v>
                </c:pt>
                <c:pt idx="13">
                  <c:v>6.50</c:v>
                </c:pt>
                <c:pt idx="14">
                  <c:v>7.00</c:v>
                </c:pt>
                <c:pt idx="15">
                  <c:v>7.50</c:v>
                </c:pt>
                <c:pt idx="16">
                  <c:v>8.00</c:v>
                </c:pt>
                <c:pt idx="17">
                  <c:v>8.50</c:v>
                </c:pt>
                <c:pt idx="18">
                  <c:v>9.00</c:v>
                </c:pt>
                <c:pt idx="19">
                  <c:v>9.50</c:v>
                </c:pt>
                <c:pt idx="20">
                  <c:v>10.00</c:v>
                </c:pt>
                <c:pt idx="21">
                  <c:v>10.50</c:v>
                </c:pt>
                <c:pt idx="22">
                  <c:v>11.00</c:v>
                </c:pt>
                <c:pt idx="23">
                  <c:v>11.50</c:v>
                </c:pt>
                <c:pt idx="24">
                  <c:v>12.00</c:v>
                </c:pt>
                <c:pt idx="25">
                  <c:v>12.50</c:v>
                </c:pt>
                <c:pt idx="26">
                  <c:v>13.00</c:v>
                </c:pt>
                <c:pt idx="27">
                  <c:v>13.50</c:v>
                </c:pt>
                <c:pt idx="28">
                  <c:v>14.00</c:v>
                </c:pt>
                <c:pt idx="29">
                  <c:v>14.50</c:v>
                </c:pt>
                <c:pt idx="30">
                  <c:v>15.00</c:v>
                </c:pt>
                <c:pt idx="31">
                  <c:v>15.50</c:v>
                </c:pt>
                <c:pt idx="32">
                  <c:v>16.00</c:v>
                </c:pt>
                <c:pt idx="33">
                  <c:v>16.50</c:v>
                </c:pt>
                <c:pt idx="34">
                  <c:v>17.00</c:v>
                </c:pt>
                <c:pt idx="35">
                  <c:v>17.50</c:v>
                </c:pt>
                <c:pt idx="36">
                  <c:v>18.00</c:v>
                </c:pt>
                <c:pt idx="37">
                  <c:v>18.50</c:v>
                </c:pt>
                <c:pt idx="38">
                  <c:v>19.00</c:v>
                </c:pt>
                <c:pt idx="39">
                  <c:v>19.50</c:v>
                </c:pt>
                <c:pt idx="40">
                  <c:v>20.00</c:v>
                </c:pt>
                <c:pt idx="41">
                  <c:v>20.50</c:v>
                </c:pt>
                <c:pt idx="42">
                  <c:v>21.00</c:v>
                </c:pt>
                <c:pt idx="43">
                  <c:v>21.50</c:v>
                </c:pt>
                <c:pt idx="44">
                  <c:v>22.00</c:v>
                </c:pt>
                <c:pt idx="45">
                  <c:v>22.50</c:v>
                </c:pt>
                <c:pt idx="46">
                  <c:v>23.00</c:v>
                </c:pt>
                <c:pt idx="47">
                  <c:v>23.50</c:v>
                </c:pt>
              </c:strCache>
            </c:strRef>
          </c:cat>
          <c:val>
            <c:numRef>
              <c:f>h2_ダックカーブ!$E$5:$E$52</c:f>
              <c:numCache>
                <c:formatCode>0.00</c:formatCode>
                <c:ptCount val="48"/>
                <c:pt idx="0">
                  <c:v>11.7345479452055</c:v>
                </c:pt>
                <c:pt idx="1">
                  <c:v>10.9538630136986</c:v>
                </c:pt>
                <c:pt idx="2">
                  <c:v>10.9441369863014</c:v>
                </c:pt>
                <c:pt idx="3">
                  <c:v>10.8517808219178</c:v>
                </c:pt>
                <c:pt idx="4">
                  <c:v>10.9896712328767</c:v>
                </c:pt>
                <c:pt idx="5">
                  <c:v>11.3225479452055</c:v>
                </c:pt>
                <c:pt idx="6">
                  <c:v>11.4750684931507</c:v>
                </c:pt>
                <c:pt idx="7">
                  <c:v>11.632602739726</c:v>
                </c:pt>
                <c:pt idx="8">
                  <c:v>11.7778356164384</c:v>
                </c:pt>
                <c:pt idx="9">
                  <c:v>11.804794520548</c:v>
                </c:pt>
                <c:pt idx="10">
                  <c:v>11.828301369863</c:v>
                </c:pt>
                <c:pt idx="11">
                  <c:v>11.465095890411</c:v>
                </c:pt>
                <c:pt idx="12">
                  <c:v>11.7490684931507</c:v>
                </c:pt>
                <c:pt idx="13">
                  <c:v>11.4324383561644</c:v>
                </c:pt>
                <c:pt idx="14">
                  <c:v>10.4939452054795</c:v>
                </c:pt>
                <c:pt idx="15">
                  <c:v>9.98715068493151</c:v>
                </c:pt>
                <c:pt idx="16">
                  <c:v>9.84290410958904</c:v>
                </c:pt>
                <c:pt idx="17">
                  <c:v>9.75846575342466</c:v>
                </c:pt>
                <c:pt idx="18">
                  <c:v>9.31761643835617</c:v>
                </c:pt>
                <c:pt idx="19">
                  <c:v>8.72819178082192</c:v>
                </c:pt>
                <c:pt idx="20">
                  <c:v>7.88846575342466</c:v>
                </c:pt>
                <c:pt idx="21">
                  <c:v>7.55950684931507</c:v>
                </c:pt>
                <c:pt idx="22">
                  <c:v>7.76731506849315</c:v>
                </c:pt>
                <c:pt idx="23">
                  <c:v>7.5481095890411</c:v>
                </c:pt>
                <c:pt idx="24">
                  <c:v>6.76901369863014</c:v>
                </c:pt>
                <c:pt idx="25">
                  <c:v>6.9458904109589</c:v>
                </c:pt>
                <c:pt idx="26">
                  <c:v>8.25317808219178</c:v>
                </c:pt>
                <c:pt idx="27">
                  <c:v>9.13024657534247</c:v>
                </c:pt>
                <c:pt idx="28">
                  <c:v>9.58279452054794</c:v>
                </c:pt>
                <c:pt idx="29">
                  <c:v>10.3274520547945</c:v>
                </c:pt>
                <c:pt idx="30">
                  <c:v>11.2293150684932</c:v>
                </c:pt>
                <c:pt idx="31">
                  <c:v>13.3361917808219</c:v>
                </c:pt>
                <c:pt idx="32">
                  <c:v>14.6784657534247</c:v>
                </c:pt>
                <c:pt idx="33">
                  <c:v>16.5627123287671</c:v>
                </c:pt>
                <c:pt idx="34">
                  <c:v>16.4627123287671</c:v>
                </c:pt>
                <c:pt idx="35">
                  <c:v>17.0397808219178</c:v>
                </c:pt>
                <c:pt idx="36">
                  <c:v>17.1644931506849</c:v>
                </c:pt>
                <c:pt idx="37">
                  <c:v>17.0268219178082</c:v>
                </c:pt>
                <c:pt idx="38">
                  <c:v>16.582904109589</c:v>
                </c:pt>
                <c:pt idx="39">
                  <c:v>15.8610684931507</c:v>
                </c:pt>
                <c:pt idx="40">
                  <c:v>15.4099452054795</c:v>
                </c:pt>
                <c:pt idx="41">
                  <c:v>14.7148767123288</c:v>
                </c:pt>
                <c:pt idx="42">
                  <c:v>13.975095890411</c:v>
                </c:pt>
                <c:pt idx="43">
                  <c:v>12.9835342465753</c:v>
                </c:pt>
                <c:pt idx="44">
                  <c:v>12.9303287671233</c:v>
                </c:pt>
                <c:pt idx="45">
                  <c:v>12.1004657534247</c:v>
                </c:pt>
                <c:pt idx="46">
                  <c:v>12.3880273972603</c:v>
                </c:pt>
                <c:pt idx="47">
                  <c:v>11.4512602739726</c:v>
                </c:pt>
              </c:numCache>
            </c:numRef>
          </c:val>
          <c:smooth val="0"/>
        </c:ser>
        <c:hiLowLines>
          <c:spPr>
            <a:ln w="0">
              <a:noFill/>
            </a:ln>
          </c:spPr>
        </c:hiLowLines>
        <c:marker val="0"/>
        <c:axId val="22393056"/>
        <c:axId val="54008487"/>
      </c:lineChart>
      <c:catAx>
        <c:axId val="2239305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時刻</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008487"/>
        <c:crosses val="autoZero"/>
        <c:auto val="1"/>
        <c:lblAlgn val="ctr"/>
        <c:lblOffset val="100"/>
        <c:noMultiLvlLbl val="0"/>
      </c:catAx>
      <c:valAx>
        <c:axId val="5400848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円/kWh</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39305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年間裁定粗利（円/kW-年）</a:t>
            </a:r>
          </a:p>
        </c:rich>
      </c:tx>
      <c:overlay val="0"/>
      <c:spPr>
        <a:noFill/>
        <a:ln w="0">
          <a:noFill/>
        </a:ln>
      </c:spPr>
    </c:title>
    <c:autoTitleDeleted val="0"/>
    <c:plotArea>
      <c:lineChart>
        <c:grouping val="standard"/>
        <c:varyColors val="0"/>
        <c:ser>
          <c:idx val="0"/>
          <c:order val="0"/>
          <c:tx>
            <c:strRef>
              <c:f>h3_バックテスト!B4</c:f>
              <c:strCache>
                <c:ptCount val="1"/>
                <c:pt idx="0">
                  <c:v>北海道 完全予見（円/kW-年）</c:v>
                </c:pt>
              </c:strCache>
            </c:strRef>
          </c:tx>
          <c:spPr>
            <a:solidFill>
              <a:srgbClr val="184f95"/>
            </a:solidFill>
            <a:ln w="21960">
              <a:solidFill>
                <a:srgbClr val="184f95"/>
              </a:solidFill>
              <a:round/>
            </a:ln>
          </c:spPr>
          <c:marker>
            <c:symbol val="circle"/>
            <c:size val="5"/>
            <c:spPr>
              <a:solidFill>
                <a:srgbClr val="184f9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h3_バックテスト!$A$5:$A$14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h3_バックテスト!$B$5:$B$14</c:f>
              <c:numCache>
                <c:formatCode>#,##0</c:formatCode>
                <c:ptCount val="10"/>
                <c:pt idx="0">
                  <c:v>10856.019</c:v>
                </c:pt>
                <c:pt idx="1">
                  <c:v>6356.454</c:v>
                </c:pt>
                <c:pt idx="2">
                  <c:v>10302.0915</c:v>
                </c:pt>
                <c:pt idx="3">
                  <c:v>8899.1025</c:v>
                </c:pt>
                <c:pt idx="4">
                  <c:v>15853.9855</c:v>
                </c:pt>
                <c:pt idx="5">
                  <c:v>13530.5155</c:v>
                </c:pt>
                <c:pt idx="6">
                  <c:v>25159.57</c:v>
                </c:pt>
                <c:pt idx="7">
                  <c:v>9873.465</c:v>
                </c:pt>
                <c:pt idx="8">
                  <c:v>9586.42875</c:v>
                </c:pt>
                <c:pt idx="9">
                  <c:v>11492.5245</c:v>
                </c:pt>
              </c:numCache>
            </c:numRef>
          </c:val>
          <c:smooth val="0"/>
        </c:ser>
        <c:ser>
          <c:idx val="1"/>
          <c:order val="1"/>
          <c:tx>
            <c:strRef>
              <c:f>h3_バックテスト!C4</c:f>
              <c:strCache>
                <c:ptCount val="1"/>
                <c:pt idx="0">
                  <c:v>a. 前日価格（円/kW-年）</c:v>
                </c:pt>
              </c:strCache>
            </c:strRef>
          </c:tx>
          <c:spPr>
            <a:solidFill>
              <a:srgbClr val="6da7ec"/>
            </a:solidFill>
            <a:ln w="21960">
              <a:solidFill>
                <a:srgbClr val="6da7ec"/>
              </a:solidFill>
              <a:round/>
            </a:ln>
          </c:spPr>
          <c:marker>
            <c:symbol val="circle"/>
            <c:size val="5"/>
            <c:spPr>
              <a:solidFill>
                <a:srgbClr val="6da7ec"/>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h3_バックテスト!$A$5:$A$14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h3_バックテスト!$C$5:$C$14</c:f>
              <c:numCache>
                <c:formatCode>#,##0</c:formatCode>
                <c:ptCount val="10"/>
                <c:pt idx="0">
                  <c:v>7729.0935</c:v>
                </c:pt>
                <c:pt idx="1">
                  <c:v>4592.39725</c:v>
                </c:pt>
                <c:pt idx="2">
                  <c:v>6818.0205</c:v>
                </c:pt>
                <c:pt idx="3">
                  <c:v>5893.0215</c:v>
                </c:pt>
                <c:pt idx="4">
                  <c:v>11755.55425</c:v>
                </c:pt>
                <c:pt idx="5">
                  <c:v>8879.3725</c:v>
                </c:pt>
                <c:pt idx="6">
                  <c:v>18730.388</c:v>
                </c:pt>
                <c:pt idx="7">
                  <c:v>6734.827</c:v>
                </c:pt>
                <c:pt idx="8">
                  <c:v>6520.3355</c:v>
                </c:pt>
                <c:pt idx="9">
                  <c:v>7968.0805</c:v>
                </c:pt>
              </c:numCache>
            </c:numRef>
          </c:val>
          <c:smooth val="0"/>
        </c:ser>
        <c:ser>
          <c:idx val="2"/>
          <c:order val="2"/>
          <c:tx>
            <c:strRef>
              <c:f>h3_バックテスト!D4</c:f>
              <c:strCache>
                <c:ptCount val="1"/>
                <c:pt idx="0">
                  <c:v>b. 前日予測 需要−太陽光（円/kW-年）</c:v>
                </c:pt>
              </c:strCache>
            </c:strRef>
          </c:tx>
          <c:spPr>
            <a:solidFill>
              <a:srgbClr val="ec835a"/>
            </a:solidFill>
            <a:ln w="21960">
              <a:solidFill>
                <a:srgbClr val="ec835a"/>
              </a:solidFill>
              <a:round/>
            </a:ln>
          </c:spPr>
          <c:marker>
            <c:symbol val="circle"/>
            <c:size val="5"/>
            <c:spPr>
              <a:solidFill>
                <a:srgbClr val="ec835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h3_バックテスト!$A$5:$A$14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h3_バックテスト!$D$5:$D$14</c:f>
              <c:numCache>
                <c:formatCode>#,##0</c:formatCode>
                <c:ptCount val="10"/>
                <c:pt idx="0">
                  <c:v>2435.9025</c:v>
                </c:pt>
                <c:pt idx="1">
                  <c:v>1105.61375</c:v>
                </c:pt>
                <c:pt idx="2">
                  <c:v>1015.58525</c:v>
                </c:pt>
                <c:pt idx="3">
                  <c:v>3223.6775</c:v>
                </c:pt>
                <c:pt idx="4">
                  <c:v>5796.609</c:v>
                </c:pt>
                <c:pt idx="5">
                  <c:v>8217.6855</c:v>
                </c:pt>
                <c:pt idx="6">
                  <c:v>19369.353</c:v>
                </c:pt>
                <c:pt idx="7">
                  <c:v>7634.8115</c:v>
                </c:pt>
                <c:pt idx="8">
                  <c:v>7497.1155</c:v>
                </c:pt>
                <c:pt idx="9">
                  <c:v>9280.6585</c:v>
                </c:pt>
              </c:numCache>
            </c:numRef>
          </c:val>
          <c:smooth val="0"/>
        </c:ser>
        <c:ser>
          <c:idx val="3"/>
          <c:order val="3"/>
          <c:tx>
            <c:strRef>
              <c:f>h3_バックテスト!E4</c:f>
              <c:strCache>
                <c:ptCount val="1"/>
                <c:pt idx="0">
                  <c:v>b'. 前日予測 −風力持続込み（円/kW-年）</c:v>
                </c:pt>
              </c:strCache>
            </c:strRef>
          </c:tx>
          <c:spPr>
            <a:solidFill>
              <a:srgbClr val="f0b45a"/>
            </a:solidFill>
            <a:ln w="21960">
              <a:solidFill>
                <a:srgbClr val="f0b45a"/>
              </a:solidFill>
              <a:round/>
            </a:ln>
          </c:spPr>
          <c:marker>
            <c:symbol val="circle"/>
            <c:size val="5"/>
            <c:spPr>
              <a:solidFill>
                <a:srgbClr val="f0b45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h3_バックテスト!$A$5:$A$14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h3_バックテスト!$E$5:$E$14</c:f>
              <c:numCache>
                <c:formatCode>#,##0</c:formatCode>
                <c:ptCount val="10"/>
                <c:pt idx="0">
                  <c:v>2458.8225</c:v>
                </c:pt>
                <c:pt idx="1">
                  <c:v>1075.307</c:v>
                </c:pt>
                <c:pt idx="2">
                  <c:v>940.7685</c:v>
                </c:pt>
                <c:pt idx="3">
                  <c:v>3134.70975</c:v>
                </c:pt>
                <c:pt idx="4">
                  <c:v>5256.673</c:v>
                </c:pt>
                <c:pt idx="5">
                  <c:v>8152.62325</c:v>
                </c:pt>
                <c:pt idx="6">
                  <c:v>19279.37375</c:v>
                </c:pt>
                <c:pt idx="7">
                  <c:v>7549.893</c:v>
                </c:pt>
                <c:pt idx="8">
                  <c:v>7422.3345</c:v>
                </c:pt>
                <c:pt idx="9">
                  <c:v>9286.3535</c:v>
                </c:pt>
              </c:numCache>
            </c:numRef>
          </c:val>
          <c:smooth val="0"/>
        </c:ser>
        <c:ser>
          <c:idx val="4"/>
          <c:order val="4"/>
          <c:tx>
            <c:strRef>
              <c:f>h3_バックテスト!F4</c:f>
              <c:strCache>
                <c:ptCount val="1"/>
                <c:pt idx="0">
                  <c:v>（参考）九州 完全予見</c:v>
                </c:pt>
              </c:strCache>
            </c:strRef>
          </c:tx>
          <c:spPr>
            <a:solidFill>
              <a:srgbClr val="8496ad"/>
            </a:solidFill>
            <a:ln w="21960">
              <a:solidFill>
                <a:srgbClr val="8496ad"/>
              </a:solidFill>
              <a:prstDash val="dash"/>
              <a:round/>
            </a:ln>
          </c:spPr>
          <c:marker>
            <c:symbol val="circle"/>
            <c:size val="5"/>
            <c:spPr>
              <a:solidFill>
                <a:srgbClr val="8496ad"/>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h3_バックテスト!$A$5:$A$14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h3_バックテスト!$F$5:$F$14</c:f>
              <c:numCache>
                <c:formatCode>#,##0</c:formatCode>
                <c:ptCount val="10"/>
                <c:pt idx="0">
                  <c:v>5823.13875</c:v>
                </c:pt>
                <c:pt idx="1">
                  <c:v>7982.02725</c:v>
                </c:pt>
                <c:pt idx="2">
                  <c:v>5490.88475</c:v>
                </c:pt>
                <c:pt idx="3">
                  <c:v>5944.75575</c:v>
                </c:pt>
                <c:pt idx="4">
                  <c:v>16070.8805</c:v>
                </c:pt>
                <c:pt idx="5">
                  <c:v>16040.39325</c:v>
                </c:pt>
                <c:pt idx="6">
                  <c:v>24367.18225</c:v>
                </c:pt>
                <c:pt idx="7">
                  <c:v>12521.427</c:v>
                </c:pt>
                <c:pt idx="8">
                  <c:v>12401.45525</c:v>
                </c:pt>
                <c:pt idx="9">
                  <c:v>10366.1825</c:v>
                </c:pt>
              </c:numCache>
            </c:numRef>
          </c:val>
          <c:smooth val="0"/>
        </c:ser>
        <c:hiLowLines>
          <c:spPr>
            <a:ln w="0">
              <a:noFill/>
            </a:ln>
          </c:spPr>
        </c:hiLowLines>
        <c:marker val="1"/>
        <c:axId val="85765489"/>
        <c:axId val="29640743"/>
      </c:lineChart>
      <c:catAx>
        <c:axId val="8576548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年度</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640743"/>
        <c:crosses val="autoZero"/>
        <c:auto val="1"/>
        <c:lblAlgn val="ctr"/>
        <c:lblOffset val="100"/>
        <c:noMultiLvlLbl val="0"/>
      </c:catAx>
      <c:valAx>
        <c:axId val="2964074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円/kW-年</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76548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TB4hスプレッド（中央値と四分位、円/kWh）</a:t>
            </a:r>
          </a:p>
        </c:rich>
      </c:tx>
      <c:overlay val="0"/>
      <c:spPr>
        <a:noFill/>
        <a:ln w="0">
          <a:noFill/>
        </a:ln>
      </c:spPr>
    </c:title>
    <c:autoTitleDeleted val="0"/>
    <c:plotArea>
      <c:lineChart>
        <c:grouping val="standard"/>
        <c:varyColors val="0"/>
        <c:ser>
          <c:idx val="0"/>
          <c:order val="0"/>
          <c:tx>
            <c:strRef>
              <c:f>h4_TB4hスプレッド!B4</c:f>
              <c:strCache>
                <c:ptCount val="1"/>
                <c:pt idx="0">
                  <c:v>北海道 25%分位</c:v>
                </c:pt>
              </c:strCache>
            </c:strRef>
          </c:tx>
          <c:spPr>
            <a:solidFill>
              <a:srgbClr val="b7d3f6"/>
            </a:solidFill>
            <a:ln w="21960">
              <a:solidFill>
                <a:srgbClr val="b7d3f6"/>
              </a:solidFill>
              <a:round/>
            </a:ln>
          </c:spPr>
          <c:marker>
            <c:symbol val="circle"/>
            <c:size val="5"/>
            <c:spPr>
              <a:solidFill>
                <a:srgbClr val="b7d3f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h4_TB4hスプレッド!$A$5:$A$14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h4_TB4hスプレッド!$B$5:$B$14</c:f>
              <c:numCache>
                <c:formatCode>0.00</c:formatCode>
                <c:ptCount val="10"/>
                <c:pt idx="0">
                  <c:v>5.555</c:v>
                </c:pt>
                <c:pt idx="1">
                  <c:v>3.44375</c:v>
                </c:pt>
                <c:pt idx="2">
                  <c:v>6.05</c:v>
                </c:pt>
                <c:pt idx="3">
                  <c:v>4.4075</c:v>
                </c:pt>
                <c:pt idx="4">
                  <c:v>2.7275</c:v>
                </c:pt>
                <c:pt idx="5">
                  <c:v>3.94875</c:v>
                </c:pt>
                <c:pt idx="6">
                  <c:v>11.745</c:v>
                </c:pt>
                <c:pt idx="7">
                  <c:v>5.764375</c:v>
                </c:pt>
                <c:pt idx="8">
                  <c:v>6.73625</c:v>
                </c:pt>
                <c:pt idx="9">
                  <c:v>6.5675</c:v>
                </c:pt>
              </c:numCache>
            </c:numRef>
          </c:val>
          <c:smooth val="0"/>
        </c:ser>
        <c:ser>
          <c:idx val="1"/>
          <c:order val="1"/>
          <c:tx>
            <c:strRef>
              <c:f>h4_TB4hスプレッド!C4</c:f>
              <c:strCache>
                <c:ptCount val="1"/>
                <c:pt idx="0">
                  <c:v>北海道 中央値</c:v>
                </c:pt>
              </c:strCache>
            </c:strRef>
          </c:tx>
          <c:spPr>
            <a:solidFill>
              <a:srgbClr val="184f95"/>
            </a:solidFill>
            <a:ln w="21960">
              <a:solidFill>
                <a:srgbClr val="184f95"/>
              </a:solidFill>
              <a:round/>
            </a:ln>
          </c:spPr>
          <c:marker>
            <c:symbol val="circle"/>
            <c:size val="5"/>
            <c:spPr>
              <a:solidFill>
                <a:srgbClr val="184f9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h4_TB4hスプレッド!$A$5:$A$14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h4_TB4hスプレッド!$C$5:$C$14</c:f>
              <c:numCache>
                <c:formatCode>0.00</c:formatCode>
                <c:ptCount val="10"/>
                <c:pt idx="0">
                  <c:v>9.5425</c:v>
                </c:pt>
                <c:pt idx="1">
                  <c:v>5.20875</c:v>
                </c:pt>
                <c:pt idx="2">
                  <c:v>9.19625</c:v>
                </c:pt>
                <c:pt idx="3">
                  <c:v>6.069375</c:v>
                </c:pt>
                <c:pt idx="4">
                  <c:v>3.87</c:v>
                </c:pt>
                <c:pt idx="5">
                  <c:v>8.9</c:v>
                </c:pt>
                <c:pt idx="6">
                  <c:v>19.7175</c:v>
                </c:pt>
                <c:pt idx="7">
                  <c:v>8.4275</c:v>
                </c:pt>
                <c:pt idx="8">
                  <c:v>8.865</c:v>
                </c:pt>
                <c:pt idx="9">
                  <c:v>9.66</c:v>
                </c:pt>
              </c:numCache>
            </c:numRef>
          </c:val>
          <c:smooth val="0"/>
        </c:ser>
        <c:ser>
          <c:idx val="2"/>
          <c:order val="2"/>
          <c:tx>
            <c:strRef>
              <c:f>h4_TB4hスプレッド!D4</c:f>
              <c:strCache>
                <c:ptCount val="1"/>
                <c:pt idx="0">
                  <c:v>北海道 75%分位</c:v>
                </c:pt>
              </c:strCache>
            </c:strRef>
          </c:tx>
          <c:spPr>
            <a:solidFill>
              <a:srgbClr val="b7d3f6"/>
            </a:solidFill>
            <a:ln w="21960">
              <a:solidFill>
                <a:srgbClr val="b7d3f6"/>
              </a:solidFill>
              <a:round/>
            </a:ln>
          </c:spPr>
          <c:marker>
            <c:symbol val="circle"/>
            <c:size val="5"/>
            <c:spPr>
              <a:solidFill>
                <a:srgbClr val="b7d3f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h4_TB4hスプレッド!$A$5:$A$14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h4_TB4hスプレッド!$D$5:$D$14</c:f>
              <c:numCache>
                <c:formatCode>0.00</c:formatCode>
                <c:ptCount val="10"/>
                <c:pt idx="0">
                  <c:v>12.6975</c:v>
                </c:pt>
                <c:pt idx="1">
                  <c:v>7.9825</c:v>
                </c:pt>
                <c:pt idx="2">
                  <c:v>14.65875</c:v>
                </c:pt>
                <c:pt idx="3">
                  <c:v>8.743125</c:v>
                </c:pt>
                <c:pt idx="4">
                  <c:v>7.98</c:v>
                </c:pt>
                <c:pt idx="5">
                  <c:v>17.315</c:v>
                </c:pt>
                <c:pt idx="6">
                  <c:v>27.6575</c:v>
                </c:pt>
                <c:pt idx="7">
                  <c:v>13.0475</c:v>
                </c:pt>
                <c:pt idx="8">
                  <c:v>11.22875</c:v>
                </c:pt>
                <c:pt idx="9">
                  <c:v>13.205</c:v>
                </c:pt>
              </c:numCache>
            </c:numRef>
          </c:val>
          <c:smooth val="0"/>
        </c:ser>
        <c:ser>
          <c:idx val="3"/>
          <c:order val="3"/>
          <c:tx>
            <c:strRef>
              <c:f>h4_TB4hスプレッド!E4</c:f>
              <c:strCache>
                <c:ptCount val="1"/>
                <c:pt idx="0">
                  <c:v>（参考）九州 中央値</c:v>
                </c:pt>
              </c:strCache>
            </c:strRef>
          </c:tx>
          <c:spPr>
            <a:solidFill>
              <a:srgbClr val="ec835a"/>
            </a:solidFill>
            <a:ln w="21960">
              <a:solidFill>
                <a:srgbClr val="ec835a"/>
              </a:solidFill>
              <a:prstDash val="dash"/>
              <a:round/>
            </a:ln>
          </c:spPr>
          <c:marker>
            <c:symbol val="circle"/>
            <c:size val="5"/>
            <c:spPr>
              <a:solidFill>
                <a:srgbClr val="ec835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h4_TB4hスプレッド!$A$5:$A$14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h4_TB4hスプレッド!$E$5:$E$14</c:f>
              <c:numCache>
                <c:formatCode>0.00</c:formatCode>
                <c:ptCount val="10"/>
                <c:pt idx="0">
                  <c:v>5.515</c:v>
                </c:pt>
                <c:pt idx="1">
                  <c:v>6.15375</c:v>
                </c:pt>
                <c:pt idx="2">
                  <c:v>4.41625</c:v>
                </c:pt>
                <c:pt idx="3">
                  <c:v>4.556875</c:v>
                </c:pt>
                <c:pt idx="4">
                  <c:v>5.40375</c:v>
                </c:pt>
                <c:pt idx="5">
                  <c:v>10.28125</c:v>
                </c:pt>
                <c:pt idx="6">
                  <c:v>19.83125</c:v>
                </c:pt>
                <c:pt idx="7">
                  <c:v>10.8475</c:v>
                </c:pt>
                <c:pt idx="8">
                  <c:v>10.80875</c:v>
                </c:pt>
                <c:pt idx="9">
                  <c:v>9.15</c:v>
                </c:pt>
              </c:numCache>
            </c:numRef>
          </c:val>
          <c:smooth val="0"/>
        </c:ser>
        <c:hiLowLines>
          <c:spPr>
            <a:ln w="0">
              <a:noFill/>
            </a:ln>
          </c:spPr>
        </c:hiLowLines>
        <c:marker val="1"/>
        <c:axId val="5652296"/>
        <c:axId val="98199977"/>
      </c:lineChart>
      <c:catAx>
        <c:axId val="565229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年度</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199977"/>
        <c:crosses val="autoZero"/>
        <c:auto val="1"/>
        <c:lblAlgn val="ctr"/>
        <c:lblOffset val="100"/>
        <c:noMultiLvlLbl val="0"/>
      </c:catAx>
      <c:valAx>
        <c:axId val="9819997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円/kWh</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522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分断率の推移（%）</a:t>
            </a:r>
          </a:p>
        </c:rich>
      </c:tx>
      <c:overlay val="0"/>
      <c:spPr>
        <a:noFill/>
        <a:ln w="0">
          <a:noFill/>
        </a:ln>
      </c:spPr>
    </c:title>
    <c:autoTitleDeleted val="0"/>
    <c:plotArea>
      <c:lineChart>
        <c:grouping val="standard"/>
        <c:varyColors val="0"/>
        <c:ser>
          <c:idx val="0"/>
          <c:order val="0"/>
          <c:tx>
            <c:strRef>
              <c:f>h5_分断の方向転換!B4</c:f>
              <c:strCache>
                <c:ptCount val="1"/>
                <c:pt idx="0">
                  <c:v>高値分断率%（北海道&gt;システム）</c:v>
                </c:pt>
              </c:strCache>
            </c:strRef>
          </c:tx>
          <c:spPr>
            <a:solidFill>
              <a:srgbClr val="ec835a"/>
            </a:solidFill>
            <a:ln w="21960">
              <a:solidFill>
                <a:srgbClr val="ec835a"/>
              </a:solidFill>
              <a:round/>
            </a:ln>
          </c:spPr>
          <c:marker>
            <c:symbol val="circle"/>
            <c:size val="5"/>
            <c:spPr>
              <a:solidFill>
                <a:srgbClr val="ec835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h5_分断の方向転換!$A$5:$A$14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h5_分断の方向転換!$B$5:$B$14</c:f>
              <c:numCache>
                <c:formatCode>0.0</c:formatCode>
                <c:ptCount val="10"/>
                <c:pt idx="0">
                  <c:v>87.2260273972603</c:v>
                </c:pt>
                <c:pt idx="1">
                  <c:v>88.2648401826484</c:v>
                </c:pt>
                <c:pt idx="2">
                  <c:v>92.3287671232877</c:v>
                </c:pt>
                <c:pt idx="3">
                  <c:v>90.0614754098361</c:v>
                </c:pt>
                <c:pt idx="4">
                  <c:v>61.8436073059361</c:v>
                </c:pt>
                <c:pt idx="5">
                  <c:v>37.134703196347</c:v>
                </c:pt>
                <c:pt idx="6">
                  <c:v>65.3595890410959</c:v>
                </c:pt>
                <c:pt idx="7">
                  <c:v>64.6174863387978</c:v>
                </c:pt>
                <c:pt idx="8">
                  <c:v>59.2979452054795</c:v>
                </c:pt>
                <c:pt idx="9">
                  <c:v>60.7477168949772</c:v>
                </c:pt>
              </c:numCache>
            </c:numRef>
          </c:val>
          <c:smooth val="0"/>
        </c:ser>
        <c:ser>
          <c:idx val="1"/>
          <c:order val="1"/>
          <c:tx>
            <c:strRef>
              <c:f>h5_分断の方向転換!C4</c:f>
              <c:strCache>
                <c:ptCount val="1"/>
                <c:pt idx="0">
                  <c:v>安値分断率%（北海道&lt;システム）</c:v>
                </c:pt>
              </c:strCache>
            </c:strRef>
          </c:tx>
          <c:spPr>
            <a:solidFill>
              <a:srgbClr val="2a78d6"/>
            </a:solidFill>
            <a:ln w="21960">
              <a:solidFill>
                <a:srgbClr val="2a78d6"/>
              </a:solidFill>
              <a:round/>
            </a:ln>
          </c:spPr>
          <c:marker>
            <c:symbol val="circle"/>
            <c:size val="5"/>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h5_分断の方向転換!$A$5:$A$14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h5_分断の方向転換!$C$5:$C$14</c:f>
              <c:numCache>
                <c:formatCode>0.0</c:formatCode>
                <c:ptCount val="10"/>
                <c:pt idx="0">
                  <c:v>1.14155251141553</c:v>
                </c:pt>
                <c:pt idx="1">
                  <c:v>5.00570776255708</c:v>
                </c:pt>
                <c:pt idx="2">
                  <c:v>1.27853881278539</c:v>
                </c:pt>
                <c:pt idx="3">
                  <c:v>2.53870673952641</c:v>
                </c:pt>
                <c:pt idx="4">
                  <c:v>20.7191780821918</c:v>
                </c:pt>
                <c:pt idx="5">
                  <c:v>35.2511415525114</c:v>
                </c:pt>
                <c:pt idx="6">
                  <c:v>18.9497716894977</c:v>
                </c:pt>
                <c:pt idx="7">
                  <c:v>20.457650273224</c:v>
                </c:pt>
                <c:pt idx="8">
                  <c:v>30.8961187214612</c:v>
                </c:pt>
                <c:pt idx="9">
                  <c:v>30.0970319634703</c:v>
                </c:pt>
              </c:numCache>
            </c:numRef>
          </c:val>
          <c:smooth val="0"/>
        </c:ser>
        <c:hiLowLines>
          <c:spPr>
            <a:ln w="0">
              <a:noFill/>
            </a:ln>
          </c:spPr>
        </c:hiLowLines>
        <c:marker val="1"/>
        <c:axId val="11588376"/>
        <c:axId val="44714891"/>
      </c:lineChart>
      <c:catAx>
        <c:axId val="1158837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年度</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714891"/>
        <c:crosses val="autoZero"/>
        <c:auto val="1"/>
        <c:lblAlgn val="ctr"/>
        <c:lblOffset val="100"/>
        <c:noMultiLvlLbl val="0"/>
      </c:catAx>
      <c:valAx>
        <c:axId val="4471489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コマ比率（%）</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58837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北海道−東北の平均値差（円/kWh）</a:t>
            </a:r>
          </a:p>
        </c:rich>
      </c:tx>
      <c:overlay val="0"/>
      <c:spPr>
        <a:noFill/>
        <a:ln w="0">
          <a:noFill/>
        </a:ln>
      </c:spPr>
    </c:title>
    <c:autoTitleDeleted val="0"/>
    <c:plotArea>
      <c:barChart>
        <c:barDir val="col"/>
        <c:grouping val="clustered"/>
        <c:varyColors val="0"/>
        <c:ser>
          <c:idx val="0"/>
          <c:order val="0"/>
          <c:tx>
            <c:strRef>
              <c:f>h5_分断の方向転換!D4</c:f>
              <c:strCache>
                <c:ptCount val="1"/>
                <c:pt idx="0">
                  <c:v>北海道−東北 平均値差（円/kWh）</c:v>
                </c:pt>
              </c:strCache>
            </c:strRef>
          </c:tx>
          <c:spPr>
            <a:solidFill>
              <a:srgbClr val="184f9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h5_分断の方向転換!$A$5:$A$14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h5_分断の方向転換!$D$5:$D$14</c:f>
              <c:numCache>
                <c:formatCode>0.0</c:formatCode>
                <c:ptCount val="10"/>
                <c:pt idx="0">
                  <c:v>2.62689212328767</c:v>
                </c:pt>
                <c:pt idx="1">
                  <c:v>2.31658561643836</c:v>
                </c:pt>
                <c:pt idx="2">
                  <c:v>4.63010628019324</c:v>
                </c:pt>
                <c:pt idx="3">
                  <c:v>1.68036145264117</c:v>
                </c:pt>
                <c:pt idx="4">
                  <c:v>0.399034246575343</c:v>
                </c:pt>
                <c:pt idx="5">
                  <c:v>-0.113630136986301</c:v>
                </c:pt>
                <c:pt idx="6">
                  <c:v>0.0799526255707763</c:v>
                </c:pt>
                <c:pt idx="7">
                  <c:v>0.111849954462659</c:v>
                </c:pt>
                <c:pt idx="8">
                  <c:v>-0.0505445205479452</c:v>
                </c:pt>
                <c:pt idx="9">
                  <c:v>0.31359303652968</c:v>
                </c:pt>
              </c:numCache>
            </c:numRef>
          </c:val>
        </c:ser>
        <c:gapWidth val="150"/>
        <c:overlap val="0"/>
        <c:axId val="95073325"/>
        <c:axId val="6155608"/>
      </c:barChart>
      <c:catAx>
        <c:axId val="9507332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年度</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55608"/>
        <c:crosses val="autoZero"/>
        <c:auto val="1"/>
        <c:lblAlgn val="ctr"/>
        <c:lblOffset val="100"/>
        <c:noMultiLvlLbl val="0"/>
      </c:catAx>
      <c:valAx>
        <c:axId val="615560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円/kWh</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0733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変動エネルギーの時間スケール配分（分散シェア%）</a:t>
            </a:r>
          </a:p>
        </c:rich>
      </c:tx>
      <c:overlay val="0"/>
      <c:spPr>
        <a:noFill/>
        <a:ln w="0">
          <a:noFill/>
        </a:ln>
      </c:spPr>
    </c:title>
    <c:autoTitleDeleted val="0"/>
    <c:plotArea>
      <c:barChart>
        <c:barDir val="col"/>
        <c:grouping val="clustered"/>
        <c:varyColors val="0"/>
        <c:ser>
          <c:idx val="0"/>
          <c:order val="0"/>
          <c:tx>
            <c:strRef>
              <c:f>h6_風力帯域分解!B4</c:f>
              <c:strCache>
                <c:ptCount val="1"/>
                <c:pt idx="0">
                  <c:v>北海道 風力（%）</c:v>
                </c:pt>
              </c:strCache>
            </c:strRef>
          </c:tx>
          <c:spPr>
            <a:solidFill>
              <a:srgbClr val="184f9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h6_風力帯域分解!$A$5:$A$8</c:f>
              <c:strCache>
                <c:ptCount val="4"/>
                <c:pt idx="0">
                  <c:v>&lt;6時間</c:v>
                </c:pt>
                <c:pt idx="1">
                  <c:v>6–24時間</c:v>
                </c:pt>
                <c:pt idx="2">
                  <c:v>1–7日</c:v>
                </c:pt>
                <c:pt idx="3">
                  <c:v>&gt;7日</c:v>
                </c:pt>
              </c:strCache>
            </c:strRef>
          </c:cat>
          <c:val>
            <c:numRef>
              <c:f>h6_風力帯域分解!$B$5:$B$8</c:f>
              <c:numCache>
                <c:formatCode>0.0</c:formatCode>
                <c:ptCount val="4"/>
                <c:pt idx="0">
                  <c:v>1.69778243845218</c:v>
                </c:pt>
                <c:pt idx="1">
                  <c:v>7.94617472239942</c:v>
                </c:pt>
                <c:pt idx="2">
                  <c:v>35.6902924430693</c:v>
                </c:pt>
                <c:pt idx="3">
                  <c:v>38.6284099248665</c:v>
                </c:pt>
              </c:numCache>
            </c:numRef>
          </c:val>
        </c:ser>
        <c:ser>
          <c:idx val="1"/>
          <c:order val="1"/>
          <c:tx>
            <c:strRef>
              <c:f>h6_風力帯域分解!C4</c:f>
              <c:strCache>
                <c:ptCount val="1"/>
                <c:pt idx="0">
                  <c:v>九州 風力（%）</c:v>
                </c:pt>
              </c:strCache>
            </c:strRef>
          </c:tx>
          <c:spPr>
            <a:solidFill>
              <a:srgbClr val="6da7e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h6_風力帯域分解!$A$5:$A$8</c:f>
              <c:strCache>
                <c:ptCount val="4"/>
                <c:pt idx="0">
                  <c:v>&lt;6時間</c:v>
                </c:pt>
                <c:pt idx="1">
                  <c:v>6–24時間</c:v>
                </c:pt>
                <c:pt idx="2">
                  <c:v>1–7日</c:v>
                </c:pt>
                <c:pt idx="3">
                  <c:v>&gt;7日</c:v>
                </c:pt>
              </c:strCache>
            </c:strRef>
          </c:cat>
          <c:val>
            <c:numRef>
              <c:f>h6_風力帯域分解!$C$5:$C$8</c:f>
              <c:numCache>
                <c:formatCode>0.0</c:formatCode>
                <c:ptCount val="4"/>
                <c:pt idx="0">
                  <c:v>1.93024200071871</c:v>
                </c:pt>
                <c:pt idx="1">
                  <c:v>8.71472994121535</c:v>
                </c:pt>
                <c:pt idx="2">
                  <c:v>43.7257875371089</c:v>
                </c:pt>
                <c:pt idx="3">
                  <c:v>26.8978692736757</c:v>
                </c:pt>
              </c:numCache>
            </c:numRef>
          </c:val>
        </c:ser>
        <c:ser>
          <c:idx val="2"/>
          <c:order val="2"/>
          <c:tx>
            <c:strRef>
              <c:f>h6_風力帯域分解!D4</c:f>
              <c:strCache>
                <c:ptCount val="1"/>
                <c:pt idx="0">
                  <c:v>北海道 太陽光（%）</c:v>
                </c:pt>
              </c:strCache>
            </c:strRef>
          </c:tx>
          <c:spPr>
            <a:solidFill>
              <a:srgbClr val="ec835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h6_風力帯域分解!$A$5:$A$8</c:f>
              <c:strCache>
                <c:ptCount val="4"/>
                <c:pt idx="0">
                  <c:v>&lt;6時間</c:v>
                </c:pt>
                <c:pt idx="1">
                  <c:v>6–24時間</c:v>
                </c:pt>
                <c:pt idx="2">
                  <c:v>1–7日</c:v>
                </c:pt>
                <c:pt idx="3">
                  <c:v>&gt;7日</c:v>
                </c:pt>
              </c:strCache>
            </c:strRef>
          </c:cat>
          <c:val>
            <c:numRef>
              <c:f>h6_風力帯域分解!$D$5:$D$8</c:f>
              <c:numCache>
                <c:formatCode>0.0</c:formatCode>
                <c:ptCount val="4"/>
                <c:pt idx="0">
                  <c:v>6.0160151888828</c:v>
                </c:pt>
                <c:pt idx="1">
                  <c:v>65.4539109954469</c:v>
                </c:pt>
                <c:pt idx="2">
                  <c:v>4.22583741737008</c:v>
                </c:pt>
                <c:pt idx="3">
                  <c:v>4.63192637097507</c:v>
                </c:pt>
              </c:numCache>
            </c:numRef>
          </c:val>
        </c:ser>
        <c:gapWidth val="150"/>
        <c:overlap val="0"/>
        <c:axId val="42041549"/>
        <c:axId val="94415100"/>
      </c:barChart>
      <c:catAx>
        <c:axId val="4204154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帯域</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415100"/>
        <c:crosses val="autoZero"/>
        <c:auto val="1"/>
        <c:lblAlgn val="ctr"/>
        <c:lblOffset val="100"/>
        <c:noMultiLvlLbl val="0"/>
      </c:catAx>
      <c:valAx>
        <c:axId val="9441510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分散シェア（%）</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0415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風力・太陽光のエネルギーシェア実測（対エリア需要、%）</a:t>
            </a:r>
          </a:p>
        </c:rich>
      </c:tx>
      <c:overlay val="0"/>
      <c:spPr>
        <a:noFill/>
        <a:ln w="0">
          <a:noFill/>
        </a:ln>
      </c:spPr>
    </c:title>
    <c:autoTitleDeleted val="0"/>
    <c:plotArea>
      <c:lineChart>
        <c:grouping val="standard"/>
        <c:varyColors val="0"/>
        <c:ser>
          <c:idx val="0"/>
          <c:order val="0"/>
          <c:tx>
            <c:strRef>
              <c:f>h6_風力帯域分解!H4</c:f>
              <c:strCache>
                <c:ptCount val="1"/>
                <c:pt idx="0">
                  <c:v>風力シェア（%）</c:v>
                </c:pt>
              </c:strCache>
            </c:strRef>
          </c:tx>
          <c:spPr>
            <a:solidFill>
              <a:srgbClr val="2a78d6"/>
            </a:solidFill>
            <a:ln w="21960">
              <a:solidFill>
                <a:srgbClr val="2a78d6"/>
              </a:solidFill>
              <a:round/>
            </a:ln>
          </c:spPr>
          <c:marker>
            <c:symbol val="circle"/>
            <c:size val="5"/>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h6_風力帯域分解!$G$5:$G$14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h6_風力帯域分解!$H$5:$H$14</c:f>
              <c:numCache>
                <c:formatCode>General</c:formatCode>
                <c:ptCount val="10"/>
                <c:pt idx="0">
                  <c:v>2.4</c:v>
                </c:pt>
                <c:pt idx="1">
                  <c:v>2.9</c:v>
                </c:pt>
                <c:pt idx="2">
                  <c:v>3.1</c:v>
                </c:pt>
                <c:pt idx="3">
                  <c:v>3.7</c:v>
                </c:pt>
                <c:pt idx="4">
                  <c:v>4.2</c:v>
                </c:pt>
                <c:pt idx="5">
                  <c:v>4.4</c:v>
                </c:pt>
                <c:pt idx="6">
                  <c:v>4.7</c:v>
                </c:pt>
                <c:pt idx="7">
                  <c:v>8</c:v>
                </c:pt>
                <c:pt idx="8">
                  <c:v>10.2</c:v>
                </c:pt>
                <c:pt idx="9">
                  <c:v>10.3</c:v>
                </c:pt>
              </c:numCache>
            </c:numRef>
          </c:val>
          <c:smooth val="0"/>
        </c:ser>
        <c:ser>
          <c:idx val="1"/>
          <c:order val="1"/>
          <c:tx>
            <c:strRef>
              <c:f>h6_風力帯域分解!I4</c:f>
              <c:strCache>
                <c:ptCount val="1"/>
                <c:pt idx="0">
                  <c:v>太陽光シェア（%）</c:v>
                </c:pt>
              </c:strCache>
            </c:strRef>
          </c:tx>
          <c:spPr>
            <a:solidFill>
              <a:srgbClr val="ec835a"/>
            </a:solidFill>
            <a:ln w="21960">
              <a:solidFill>
                <a:srgbClr val="ec835a"/>
              </a:solidFill>
              <a:round/>
            </a:ln>
          </c:spPr>
          <c:marker>
            <c:symbol val="circle"/>
            <c:size val="5"/>
            <c:spPr>
              <a:solidFill>
                <a:srgbClr val="ec835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h6_風力帯域分解!$G$5:$G$14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h6_風力帯域分解!$I$5:$I$14</c:f>
              <c:numCache>
                <c:formatCode>General</c:formatCode>
                <c:ptCount val="10"/>
                <c:pt idx="0">
                  <c:v>4.2</c:v>
                </c:pt>
                <c:pt idx="1">
                  <c:v>4.2</c:v>
                </c:pt>
                <c:pt idx="2">
                  <c:v>5.1</c:v>
                </c:pt>
                <c:pt idx="3">
                  <c:v>6.5</c:v>
                </c:pt>
                <c:pt idx="4">
                  <c:v>8.2</c:v>
                </c:pt>
                <c:pt idx="5">
                  <c:v>8.7</c:v>
                </c:pt>
                <c:pt idx="6">
                  <c:v>9</c:v>
                </c:pt>
                <c:pt idx="7">
                  <c:v>10.4</c:v>
                </c:pt>
                <c:pt idx="8">
                  <c:v>10.7</c:v>
                </c:pt>
                <c:pt idx="9">
                  <c:v>10.9</c:v>
                </c:pt>
              </c:numCache>
            </c:numRef>
          </c:val>
          <c:smooth val="0"/>
        </c:ser>
        <c:hiLowLines>
          <c:spPr>
            <a:ln w="0">
              <a:noFill/>
            </a:ln>
          </c:spPr>
        </c:hiLowLines>
        <c:marker val="1"/>
        <c:axId val="39547365"/>
        <c:axId val="63773524"/>
      </c:lineChart>
      <c:catAx>
        <c:axId val="3954736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年度</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773524"/>
        <c:crosses val="autoZero"/>
        <c:auto val="1"/>
        <c:lblAlgn val="ctr"/>
        <c:lblOffset val="100"/>
        <c:noMultiLvlLbl val="0"/>
      </c:catAx>
      <c:valAx>
        <c:axId val="6377352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54736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風力係数の分位点プロファイル（円/kWh per GW）</a:t>
            </a:r>
          </a:p>
        </c:rich>
      </c:tx>
      <c:overlay val="0"/>
      <c:spPr>
        <a:noFill/>
        <a:ln w="0">
          <a:noFill/>
        </a:ln>
      </c:spPr>
    </c:title>
    <c:autoTitleDeleted val="0"/>
    <c:plotArea>
      <c:lineChart>
        <c:grouping val="standard"/>
        <c:varyColors val="0"/>
        <c:ser>
          <c:idx val="0"/>
          <c:order val="0"/>
          <c:tx>
            <c:strRef>
              <c:f>h7_分位点回帰!B4</c:f>
              <c:strCache>
                <c:ptCount val="1"/>
                <c:pt idx="0">
                  <c:v>風力係数 FY2016-19（円/kWh per GW）</c:v>
                </c:pt>
              </c:strCache>
            </c:strRef>
          </c:tx>
          <c:spPr>
            <a:solidFill>
              <a:srgbClr val="6da7ec"/>
            </a:solidFill>
            <a:ln w="21960">
              <a:solidFill>
                <a:srgbClr val="6da7ec"/>
              </a:solidFill>
              <a:round/>
            </a:ln>
          </c:spPr>
          <c:marker>
            <c:symbol val="circle"/>
            <c:size val="5"/>
            <c:spPr>
              <a:solidFill>
                <a:srgbClr val="6da7ec"/>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h7_分位点回帰!$A$5:$A$13</c:f>
              <c:strCache>
                <c:ptCount val="9"/>
                <c:pt idx="0">
                  <c:v>0.1</c:v>
                </c:pt>
                <c:pt idx="1">
                  <c:v>0.2</c:v>
                </c:pt>
                <c:pt idx="2">
                  <c:v>0.3</c:v>
                </c:pt>
                <c:pt idx="3">
                  <c:v>0.4</c:v>
                </c:pt>
                <c:pt idx="4">
                  <c:v>0.5</c:v>
                </c:pt>
                <c:pt idx="5">
                  <c:v>0.6</c:v>
                </c:pt>
                <c:pt idx="6">
                  <c:v>0.7</c:v>
                </c:pt>
                <c:pt idx="7">
                  <c:v>0.8</c:v>
                </c:pt>
                <c:pt idx="8">
                  <c:v>0.9</c:v>
                </c:pt>
              </c:strCache>
            </c:strRef>
          </c:cat>
          <c:val>
            <c:numRef>
              <c:f>h7_分位点回帰!$B$5:$B$13</c:f>
              <c:numCache>
                <c:formatCode>0.00</c:formatCode>
                <c:ptCount val="9"/>
                <c:pt idx="0">
                  <c:v>-5.74</c:v>
                </c:pt>
                <c:pt idx="1">
                  <c:v>-5.85</c:v>
                </c:pt>
                <c:pt idx="2">
                  <c:v>-5.85</c:v>
                </c:pt>
                <c:pt idx="3">
                  <c:v>-4.65</c:v>
                </c:pt>
                <c:pt idx="4">
                  <c:v>-4.48</c:v>
                </c:pt>
                <c:pt idx="5">
                  <c:v>-4.39</c:v>
                </c:pt>
                <c:pt idx="6">
                  <c:v>-5.54</c:v>
                </c:pt>
                <c:pt idx="7">
                  <c:v>-7.82</c:v>
                </c:pt>
                <c:pt idx="8">
                  <c:v>-11.22</c:v>
                </c:pt>
              </c:numCache>
            </c:numRef>
          </c:val>
          <c:smooth val="0"/>
        </c:ser>
        <c:ser>
          <c:idx val="1"/>
          <c:order val="1"/>
          <c:tx>
            <c:strRef>
              <c:f>h7_分位点回帰!C4</c:f>
              <c:strCache>
                <c:ptCount val="1"/>
                <c:pt idx="0">
                  <c:v>風力係数 FY2023-25（円/kWh per GW）</c:v>
                </c:pt>
              </c:strCache>
            </c:strRef>
          </c:tx>
          <c:spPr>
            <a:solidFill>
              <a:srgbClr val="184f95"/>
            </a:solidFill>
            <a:ln w="21960">
              <a:solidFill>
                <a:srgbClr val="184f95"/>
              </a:solidFill>
              <a:round/>
            </a:ln>
          </c:spPr>
          <c:marker>
            <c:symbol val="circle"/>
            <c:size val="5"/>
            <c:spPr>
              <a:solidFill>
                <a:srgbClr val="184f9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h7_分位点回帰!$A$5:$A$13</c:f>
              <c:strCache>
                <c:ptCount val="9"/>
                <c:pt idx="0">
                  <c:v>0.1</c:v>
                </c:pt>
                <c:pt idx="1">
                  <c:v>0.2</c:v>
                </c:pt>
                <c:pt idx="2">
                  <c:v>0.3</c:v>
                </c:pt>
                <c:pt idx="3">
                  <c:v>0.4</c:v>
                </c:pt>
                <c:pt idx="4">
                  <c:v>0.5</c:v>
                </c:pt>
                <c:pt idx="5">
                  <c:v>0.6</c:v>
                </c:pt>
                <c:pt idx="6">
                  <c:v>0.7</c:v>
                </c:pt>
                <c:pt idx="7">
                  <c:v>0.8</c:v>
                </c:pt>
                <c:pt idx="8">
                  <c:v>0.9</c:v>
                </c:pt>
              </c:strCache>
            </c:strRef>
          </c:cat>
          <c:val>
            <c:numRef>
              <c:f>h7_分位点回帰!$C$5:$C$13</c:f>
              <c:numCache>
                <c:formatCode>0.00</c:formatCode>
                <c:ptCount val="9"/>
                <c:pt idx="0">
                  <c:v>-4.01</c:v>
                </c:pt>
                <c:pt idx="1">
                  <c:v>-4.6</c:v>
                </c:pt>
                <c:pt idx="2">
                  <c:v>-4.96</c:v>
                </c:pt>
                <c:pt idx="3">
                  <c:v>-5.08</c:v>
                </c:pt>
                <c:pt idx="4">
                  <c:v>-5.22</c:v>
                </c:pt>
                <c:pt idx="5">
                  <c:v>-5.49</c:v>
                </c:pt>
                <c:pt idx="6">
                  <c:v>-5.93</c:v>
                </c:pt>
                <c:pt idx="7">
                  <c:v>-6.58</c:v>
                </c:pt>
                <c:pt idx="8">
                  <c:v>-7.07</c:v>
                </c:pt>
              </c:numCache>
            </c:numRef>
          </c:val>
          <c:smooth val="0"/>
        </c:ser>
        <c:hiLowLines>
          <c:spPr>
            <a:ln w="0">
              <a:noFill/>
            </a:ln>
          </c:spPr>
        </c:hiLowLines>
        <c:marker val="1"/>
        <c:axId val="49107843"/>
        <c:axId val="28382927"/>
      </c:lineChart>
      <c:catAx>
        <c:axId val="4910784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価格分位点</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382927"/>
        <c:crosses val="autoZero"/>
        <c:auto val="1"/>
        <c:lblAlgn val="ctr"/>
        <c:lblOffset val="100"/>
        <c:noMultiLvlLbl val="0"/>
      </c:catAx>
      <c:valAx>
        <c:axId val="283829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円/kWh per GW</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10784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供給側の内訳（昼間平均、GW・制御前）</a:t>
            </a:r>
          </a:p>
        </c:rich>
      </c:tx>
      <c:overlay val="0"/>
      <c:spPr>
        <a:noFill/>
        <a:ln w="0">
          <a:noFill/>
        </a:ln>
      </c:spPr>
    </c:title>
    <c:autoTitleDeleted val="0"/>
    <c:plotArea>
      <c:barChart>
        <c:barDir val="col"/>
        <c:grouping val="stacked"/>
        <c:varyColors val="0"/>
        <c:ser>
          <c:idx val="0"/>
          <c:order val="0"/>
          <c:tx>
            <c:strRef>
              <c:f>h8_需給内訳_昼間!B4</c:f>
              <c:strCache>
                <c:ptCount val="1"/>
                <c:pt idx="0">
                  <c:v>原子力</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h8_需給内訳_昼間!$A$5:$A$14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h8_需給内訳_昼間!$B$5:$B$14</c:f>
              <c:numCache>
                <c:formatCode>0.00</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h8_需給内訳_昼間!C4</c:f>
              <c:strCache>
                <c:ptCount val="1"/>
                <c:pt idx="0">
                  <c:v>火力</c:v>
                </c:pt>
              </c:strCache>
            </c:strRef>
          </c:tx>
          <c:spPr>
            <a:solidFill>
              <a:srgbClr val="8496a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h8_需給内訳_昼間!$A$5:$A$14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h8_需給内訳_昼間!$C$5:$C$14</c:f>
              <c:numCache>
                <c:formatCode>0.00</c:formatCode>
                <c:ptCount val="10"/>
                <c:pt idx="0">
                  <c:v>2.51206575342466</c:v>
                </c:pt>
                <c:pt idx="1">
                  <c:v>2.49263904109589</c:v>
                </c:pt>
                <c:pt idx="2">
                  <c:v>2.29294246575343</c:v>
                </c:pt>
                <c:pt idx="3">
                  <c:v>2.22001571038251</c:v>
                </c:pt>
                <c:pt idx="4">
                  <c:v>2.31254794520548</c:v>
                </c:pt>
                <c:pt idx="5">
                  <c:v>2.26853424657534</c:v>
                </c:pt>
                <c:pt idx="6">
                  <c:v>1.83060547945206</c:v>
                </c:pt>
                <c:pt idx="7">
                  <c:v>1.79997745901639</c:v>
                </c:pt>
                <c:pt idx="8">
                  <c:v>1.78701952054795</c:v>
                </c:pt>
                <c:pt idx="9">
                  <c:v>1.6926852739726</c:v>
                </c:pt>
              </c:numCache>
            </c:numRef>
          </c:val>
        </c:ser>
        <c:ser>
          <c:idx val="2"/>
          <c:order val="2"/>
          <c:tx>
            <c:strRef>
              <c:f>h8_需給内訳_昼間!D4</c:f>
              <c:strCache>
                <c:ptCount val="1"/>
                <c:pt idx="0">
                  <c:v>一般水力</c:v>
                </c:pt>
              </c:strCache>
            </c:strRef>
          </c:tx>
          <c:spPr>
            <a:solidFill>
              <a:srgbClr val="2a78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h8_需給内訳_昼間!$A$5:$A$14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h8_需給内訳_昼間!$D$5:$D$14</c:f>
              <c:numCache>
                <c:formatCode>0.00</c:formatCode>
                <c:ptCount val="10"/>
                <c:pt idx="0">
                  <c:v>0.516141095890411</c:v>
                </c:pt>
                <c:pt idx="1">
                  <c:v>0.42446301369863</c:v>
                </c:pt>
                <c:pt idx="2">
                  <c:v>0.500358904109589</c:v>
                </c:pt>
                <c:pt idx="3">
                  <c:v>0.302849726775956</c:v>
                </c:pt>
                <c:pt idx="4">
                  <c:v>0.292101369863014</c:v>
                </c:pt>
                <c:pt idx="5">
                  <c:v>0.434238356164384</c:v>
                </c:pt>
                <c:pt idx="6">
                  <c:v>0.480412328767123</c:v>
                </c:pt>
                <c:pt idx="7">
                  <c:v>0.434250683060109</c:v>
                </c:pt>
                <c:pt idx="8">
                  <c:v>0.346628424657534</c:v>
                </c:pt>
                <c:pt idx="9">
                  <c:v>0.430968493150685</c:v>
                </c:pt>
              </c:numCache>
            </c:numRef>
          </c:val>
        </c:ser>
        <c:ser>
          <c:idx val="3"/>
          <c:order val="3"/>
          <c:tx>
            <c:strRef>
              <c:f>h8_需給内訳_昼間!E4</c:f>
              <c:strCache>
                <c:ptCount val="1"/>
                <c:pt idx="0">
                  <c:v>地熱・バイオマス</c:v>
                </c:pt>
              </c:strCache>
            </c:strRef>
          </c:tx>
          <c:spPr>
            <a:solidFill>
              <a:srgbClr val="a6b48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h8_需給内訳_昼間!$A$5:$A$14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h8_需給内訳_昼間!$E$5:$E$14</c:f>
              <c:numCache>
                <c:formatCode>0.00</c:formatCode>
                <c:ptCount val="10"/>
                <c:pt idx="0">
                  <c:v>0.01495</c:v>
                </c:pt>
                <c:pt idx="1">
                  <c:v>0.0180034246575343</c:v>
                </c:pt>
                <c:pt idx="2">
                  <c:v>0.0229527397260274</c:v>
                </c:pt>
                <c:pt idx="3">
                  <c:v>0.0310765027322404</c:v>
                </c:pt>
                <c:pt idx="4">
                  <c:v>0.036341095890411</c:v>
                </c:pt>
                <c:pt idx="5">
                  <c:v>0.106295205479452</c:v>
                </c:pt>
                <c:pt idx="6">
                  <c:v>0.17708904109589</c:v>
                </c:pt>
                <c:pt idx="7">
                  <c:v>0.239389344262295</c:v>
                </c:pt>
                <c:pt idx="8">
                  <c:v>0.219296232876712</c:v>
                </c:pt>
                <c:pt idx="9">
                  <c:v>0.256252397260274</c:v>
                </c:pt>
              </c:numCache>
            </c:numRef>
          </c:val>
        </c:ser>
        <c:ser>
          <c:idx val="4"/>
          <c:order val="4"/>
          <c:tx>
            <c:strRef>
              <c:f>h8_需給内訳_昼間!F4</c:f>
              <c:strCache>
                <c:ptCount val="1"/>
                <c:pt idx="0">
                  <c:v>太陽光（制御前）</c:v>
                </c:pt>
              </c:strCache>
            </c:strRef>
          </c:tx>
          <c:spPr>
            <a:solidFill>
              <a:srgbClr val="f0b45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h8_需給内訳_昼間!$A$5:$A$14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h8_需給内訳_昼間!$F$5:$F$14</c:f>
              <c:numCache>
                <c:formatCode>0.00</c:formatCode>
                <c:ptCount val="10"/>
                <c:pt idx="0">
                  <c:v>0.478628767123288</c:v>
                </c:pt>
                <c:pt idx="1">
                  <c:v>0.483658219178082</c:v>
                </c:pt>
                <c:pt idx="2">
                  <c:v>0.582686301369863</c:v>
                </c:pt>
                <c:pt idx="3">
                  <c:v>0.727810109289617</c:v>
                </c:pt>
                <c:pt idx="4">
                  <c:v>0.921028767123288</c:v>
                </c:pt>
                <c:pt idx="5">
                  <c:v>0.961549315068493</c:v>
                </c:pt>
                <c:pt idx="6">
                  <c:v>0.975019863013699</c:v>
                </c:pt>
                <c:pt idx="7">
                  <c:v>1.12272472677596</c:v>
                </c:pt>
                <c:pt idx="8">
                  <c:v>1.14302397260274</c:v>
                </c:pt>
                <c:pt idx="9">
                  <c:v>1.18425239726027</c:v>
                </c:pt>
              </c:numCache>
            </c:numRef>
          </c:val>
        </c:ser>
        <c:ser>
          <c:idx val="5"/>
          <c:order val="5"/>
          <c:tx>
            <c:strRef>
              <c:f>h8_需給内訳_昼間!G4</c:f>
              <c:strCache>
                <c:ptCount val="1"/>
                <c:pt idx="0">
                  <c:v>風力（制御前）</c:v>
                </c:pt>
              </c:strCache>
            </c:strRef>
          </c:tx>
          <c:spPr>
            <a:solidFill>
              <a:srgbClr val="6da7e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h8_需給内訳_昼間!$A$5:$A$14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h8_需給内訳_昼間!$G$5:$G$14</c:f>
              <c:numCache>
                <c:formatCode>0.00</c:formatCode>
                <c:ptCount val="10"/>
                <c:pt idx="0">
                  <c:v>0.0881691780821918</c:v>
                </c:pt>
                <c:pt idx="1">
                  <c:v>0.109103424657534</c:v>
                </c:pt>
                <c:pt idx="2">
                  <c:v>0.111847945205479</c:v>
                </c:pt>
                <c:pt idx="3">
                  <c:v>0.136719262295082</c:v>
                </c:pt>
                <c:pt idx="4">
                  <c:v>0.153744520547945</c:v>
                </c:pt>
                <c:pt idx="5">
                  <c:v>0.158178082191781</c:v>
                </c:pt>
                <c:pt idx="6">
                  <c:v>0.166852054794521</c:v>
                </c:pt>
                <c:pt idx="7">
                  <c:v>0.27495218579235</c:v>
                </c:pt>
                <c:pt idx="8">
                  <c:v>0.337392465753425</c:v>
                </c:pt>
                <c:pt idx="9">
                  <c:v>0.345751712328767</c:v>
                </c:pt>
              </c:numCache>
            </c:numRef>
          </c:val>
        </c:ser>
        <c:ser>
          <c:idx val="6"/>
          <c:order val="6"/>
          <c:tx>
            <c:strRef>
              <c:f>h8_需給内訳_昼間!H4</c:f>
              <c:strCache>
                <c:ptCount val="1"/>
                <c:pt idx="0">
                  <c:v>揚水・蓄電池 発電</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h8_需給内訳_昼間!$A$5:$A$14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h8_需給内訳_昼間!$H$5:$H$14</c:f>
              <c:numCache>
                <c:formatCode>0.00</c:formatCode>
                <c:ptCount val="10"/>
                <c:pt idx="0">
                  <c:v>0.0225369863013699</c:v>
                </c:pt>
                <c:pt idx="1">
                  <c:v>0.0127958904109589</c:v>
                </c:pt>
                <c:pt idx="2">
                  <c:v>0.0198760273972603</c:v>
                </c:pt>
                <c:pt idx="3">
                  <c:v>0.0155334699453552</c:v>
                </c:pt>
                <c:pt idx="4">
                  <c:v>0.017008904109589</c:v>
                </c:pt>
                <c:pt idx="5">
                  <c:v>0.0128746575342466</c:v>
                </c:pt>
                <c:pt idx="6">
                  <c:v>0.0128424657534247</c:v>
                </c:pt>
                <c:pt idx="7">
                  <c:v>0.00821926229508197</c:v>
                </c:pt>
                <c:pt idx="8">
                  <c:v>0.00833390410958904</c:v>
                </c:pt>
                <c:pt idx="9">
                  <c:v>0.0100188356164384</c:v>
                </c:pt>
              </c:numCache>
            </c:numRef>
          </c:val>
        </c:ser>
        <c:ser>
          <c:idx val="7"/>
          <c:order val="7"/>
          <c:tx>
            <c:strRef>
              <c:f>h8_需給内訳_昼間!I4</c:f>
              <c:strCache>
                <c:ptCount val="1"/>
                <c:pt idx="0">
                  <c:v>域外受電</c:v>
                </c:pt>
              </c:strCache>
            </c:strRef>
          </c:tx>
          <c:spPr>
            <a:solidFill>
              <a:srgbClr val="cde2f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h8_需給内訳_昼間!$A$5:$A$14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h8_需給内訳_昼間!$I$5:$I$14</c:f>
              <c:numCache>
                <c:formatCode>0.00</c:formatCode>
                <c:ptCount val="10"/>
                <c:pt idx="0">
                  <c:v>0.0846013698630137</c:v>
                </c:pt>
                <c:pt idx="1">
                  <c:v>0.106615753424658</c:v>
                </c:pt>
                <c:pt idx="2">
                  <c:v>0.102565753424658</c:v>
                </c:pt>
                <c:pt idx="3">
                  <c:v>0.200184426229508</c:v>
                </c:pt>
                <c:pt idx="4">
                  <c:v>0.0751212328767123</c:v>
                </c:pt>
                <c:pt idx="5">
                  <c:v>0.0184109589041096</c:v>
                </c:pt>
                <c:pt idx="6">
                  <c:v>0.121043835616438</c:v>
                </c:pt>
                <c:pt idx="7">
                  <c:v>0.059198087431694</c:v>
                </c:pt>
                <c:pt idx="8">
                  <c:v>0.0742325342465754</c:v>
                </c:pt>
                <c:pt idx="9">
                  <c:v>0.0576804794520548</c:v>
                </c:pt>
              </c:numCache>
            </c:numRef>
          </c:val>
        </c:ser>
        <c:gapWidth val="150"/>
        <c:overlap val="100"/>
        <c:axId val="85536362"/>
        <c:axId val="423084"/>
      </c:barChart>
      <c:catAx>
        <c:axId val="8553636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年度</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3084"/>
        <c:crosses val="autoZero"/>
        <c:auto val="1"/>
        <c:lblAlgn val="ctr"/>
        <c:lblOffset val="100"/>
        <c:noMultiLvlLbl val="0"/>
      </c:catAx>
      <c:valAx>
        <c:axId val="42308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GW</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5363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需要側の内訳（昼間平均、GW）</a:t>
            </a:r>
          </a:p>
        </c:rich>
      </c:tx>
      <c:overlay val="0"/>
      <c:spPr>
        <a:noFill/>
        <a:ln w="0">
          <a:noFill/>
        </a:ln>
      </c:spPr>
    </c:title>
    <c:autoTitleDeleted val="0"/>
    <c:plotArea>
      <c:barChart>
        <c:barDir val="col"/>
        <c:grouping val="stacked"/>
        <c:varyColors val="0"/>
        <c:ser>
          <c:idx val="0"/>
          <c:order val="0"/>
          <c:tx>
            <c:strRef>
              <c:f>h8_需給内訳_昼間!K4</c:f>
              <c:strCache>
                <c:ptCount val="1"/>
                <c:pt idx="0">
                  <c:v>エリア需要</c:v>
                </c:pt>
              </c:strCache>
            </c:strRef>
          </c:tx>
          <c:spPr>
            <a:solidFill>
              <a:srgbClr val="b7d3f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h8_需給内訳_昼間!$A$5:$A$14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h8_需給内訳_昼間!$K$5:$K$14</c:f>
              <c:numCache>
                <c:formatCode>0.00</c:formatCode>
                <c:ptCount val="10"/>
                <c:pt idx="0">
                  <c:v>3.64109178082192</c:v>
                </c:pt>
                <c:pt idx="1">
                  <c:v>3.5600095890411</c:v>
                </c:pt>
                <c:pt idx="2">
                  <c:v>3.50113150684932</c:v>
                </c:pt>
                <c:pt idx="3">
                  <c:v>3.48407718579235</c:v>
                </c:pt>
                <c:pt idx="4">
                  <c:v>3.57455890410959</c:v>
                </c:pt>
                <c:pt idx="5">
                  <c:v>3.57821712328767</c:v>
                </c:pt>
                <c:pt idx="6">
                  <c:v>3.50023082191781</c:v>
                </c:pt>
                <c:pt idx="7">
                  <c:v>3.61363183060109</c:v>
                </c:pt>
                <c:pt idx="8">
                  <c:v>3.53621917808219</c:v>
                </c:pt>
                <c:pt idx="9">
                  <c:v>3.65597876712329</c:v>
                </c:pt>
              </c:numCache>
            </c:numRef>
          </c:val>
        </c:ser>
        <c:ser>
          <c:idx val="1"/>
          <c:order val="1"/>
          <c:tx>
            <c:strRef>
              <c:f>h8_需給内訳_昼間!L4</c:f>
              <c:strCache>
                <c:ptCount val="1"/>
                <c:pt idx="0">
                  <c:v>揚水・蓄電池 充電</c:v>
                </c:pt>
              </c:strCache>
            </c:strRef>
          </c:tx>
          <c:spPr>
            <a:solidFill>
              <a:srgbClr val="184f9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h8_需給内訳_昼間!$A$5:$A$14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h8_需給内訳_昼間!$L$5:$L$14</c:f>
              <c:numCache>
                <c:formatCode>0.00</c:formatCode>
                <c:ptCount val="10"/>
                <c:pt idx="0">
                  <c:v>0.0551869863013699</c:v>
                </c:pt>
                <c:pt idx="1">
                  <c:v>0.0667102739726027</c:v>
                </c:pt>
                <c:pt idx="2">
                  <c:v>0.114633561643836</c:v>
                </c:pt>
                <c:pt idx="3">
                  <c:v>0.102045081967213</c:v>
                </c:pt>
                <c:pt idx="4">
                  <c:v>0.0943993150684932</c:v>
                </c:pt>
                <c:pt idx="5">
                  <c:v>0.0870821917808219</c:v>
                </c:pt>
                <c:pt idx="6">
                  <c:v>0.145368493150685</c:v>
                </c:pt>
                <c:pt idx="7">
                  <c:v>0.13078893442623</c:v>
                </c:pt>
                <c:pt idx="8">
                  <c:v>0.207509589041096</c:v>
                </c:pt>
                <c:pt idx="9">
                  <c:v>0.16027294520548</c:v>
                </c:pt>
              </c:numCache>
            </c:numRef>
          </c:val>
        </c:ser>
        <c:ser>
          <c:idx val="2"/>
          <c:order val="2"/>
          <c:tx>
            <c:strRef>
              <c:f>h8_需給内訳_昼間!M4</c:f>
              <c:strCache>
                <c:ptCount val="1"/>
                <c:pt idx="0">
                  <c:v>域外送電</c:v>
                </c:pt>
              </c:strCache>
            </c:strRef>
          </c:tx>
          <c:spPr>
            <a:solidFill>
              <a:srgbClr val="6da7e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h8_需給内訳_昼間!$A$5:$A$14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h8_需給内訳_昼間!$M$5:$M$14</c:f>
              <c:numCache>
                <c:formatCode>0.00</c:formatCode>
                <c:ptCount val="10"/>
                <c:pt idx="0">
                  <c:v>0.0208438356164384</c:v>
                </c:pt>
                <c:pt idx="1">
                  <c:v>0.020472602739726</c:v>
                </c:pt>
                <c:pt idx="2">
                  <c:v>0.0173520547945206</c:v>
                </c:pt>
                <c:pt idx="3">
                  <c:v>0.0481079234972678</c:v>
                </c:pt>
                <c:pt idx="4">
                  <c:v>0.13887602739726</c:v>
                </c:pt>
                <c:pt idx="5">
                  <c:v>0.294651369863014</c:v>
                </c:pt>
                <c:pt idx="6">
                  <c:v>0.117195890410959</c:v>
                </c:pt>
                <c:pt idx="7">
                  <c:v>0.193671448087432</c:v>
                </c:pt>
                <c:pt idx="8">
                  <c:v>0.171028082191781</c:v>
                </c:pt>
                <c:pt idx="9">
                  <c:v>0.154925</c:v>
                </c:pt>
              </c:numCache>
            </c:numRef>
          </c:val>
        </c:ser>
        <c:ser>
          <c:idx val="3"/>
          <c:order val="3"/>
          <c:tx>
            <c:strRef>
              <c:f>h8_需給内訳_昼間!N4</c:f>
              <c:strCache>
                <c:ptCount val="1"/>
                <c:pt idx="0">
                  <c:v>出力制御</c:v>
                </c:pt>
              </c:strCache>
            </c:strRef>
          </c:tx>
          <c:spPr>
            <a:solidFill>
              <a:srgbClr val="ec835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h8_需給内訳_昼間!$A$5:$A$14</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h8_需給内訳_昼間!$N$5:$N$14</c:f>
              <c:numCache>
                <c:formatCode>0.00</c:formatCode>
                <c:ptCount val="10"/>
                <c:pt idx="0">
                  <c:v>0</c:v>
                </c:pt>
                <c:pt idx="1">
                  <c:v>0</c:v>
                </c:pt>
                <c:pt idx="2">
                  <c:v>0</c:v>
                </c:pt>
                <c:pt idx="3">
                  <c:v>0</c:v>
                </c:pt>
                <c:pt idx="4">
                  <c:v>0</c:v>
                </c:pt>
                <c:pt idx="5">
                  <c:v>0</c:v>
                </c:pt>
                <c:pt idx="6">
                  <c:v>0.000938356164383562</c:v>
                </c:pt>
                <c:pt idx="7">
                  <c:v>0.000469945355191257</c:v>
                </c:pt>
                <c:pt idx="8">
                  <c:v>0.00117020547945206</c:v>
                </c:pt>
                <c:pt idx="9">
                  <c:v>0.00643287671232877</c:v>
                </c:pt>
              </c:numCache>
            </c:numRef>
          </c:val>
        </c:ser>
        <c:gapWidth val="150"/>
        <c:overlap val="100"/>
        <c:axId val="72980517"/>
        <c:axId val="31217535"/>
      </c:barChart>
      <c:catAx>
        <c:axId val="7298051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年度</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217535"/>
        <c:crosses val="autoZero"/>
        <c:auto val="1"/>
        <c:lblAlgn val="ctr"/>
        <c:lblOffset val="100"/>
        <c:noMultiLvlLbl val="0"/>
      </c:catAx>
      <c:valAx>
        <c:axId val="3121753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GW</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98051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
</Relationships>
</file>

<file path=xl/drawings/_rels/drawing6.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
</Relationships>
</file>

<file path=xl/drawings/_rels/drawing7.xml.rels><?xml version="1.0" encoding="UTF-8"?>
<Relationships xmlns="http://schemas.openxmlformats.org/package/2006/relationships"><Relationship Id="rId1" Type="http://schemas.openxmlformats.org/officeDocument/2006/relationships/chart" Target="../charts/chart10.xml"/>
</Relationships>
</file>

<file path=xl/drawings/_rels/drawing8.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126000</xdr:rowOff>
    </xdr:from>
    <xdr:to>
      <xdr:col>14</xdr:col>
      <xdr:colOff>408960</xdr:colOff>
      <xdr:row>22</xdr:row>
      <xdr:rowOff>87120</xdr:rowOff>
    </xdr:to>
    <xdr:graphicFrame>
      <xdr:nvGraphicFramePr>
        <xdr:cNvPr id="0" name="Chart 1"/>
        <xdr:cNvGraphicFramePr/>
      </xdr:nvGraphicFramePr>
      <xdr:xfrm>
        <a:off x="8048520" y="571680"/>
        <a:ext cx="647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23</xdr:row>
      <xdr:rowOff>127440</xdr:rowOff>
    </xdr:from>
    <xdr:to>
      <xdr:col>11</xdr:col>
      <xdr:colOff>525240</xdr:colOff>
      <xdr:row>44</xdr:row>
      <xdr:rowOff>86760</xdr:rowOff>
    </xdr:to>
    <xdr:graphicFrame>
      <xdr:nvGraphicFramePr>
        <xdr:cNvPr id="1" name="Chart 2"/>
        <xdr:cNvGraphicFramePr/>
      </xdr:nvGraphicFramePr>
      <xdr:xfrm>
        <a:off x="8048520" y="4762440"/>
        <a:ext cx="431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126000</xdr:rowOff>
    </xdr:from>
    <xdr:to>
      <xdr:col>15</xdr:col>
      <xdr:colOff>370440</xdr:colOff>
      <xdr:row>23</xdr:row>
      <xdr:rowOff>84960</xdr:rowOff>
    </xdr:to>
    <xdr:graphicFrame>
      <xdr:nvGraphicFramePr>
        <xdr:cNvPr id="2" name="Chart 1"/>
        <xdr:cNvGraphicFramePr/>
      </xdr:nvGraphicFramePr>
      <xdr:xfrm>
        <a:off x="7337520" y="571680"/>
        <a:ext cx="719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126000</xdr:rowOff>
    </xdr:from>
    <xdr:to>
      <xdr:col>15</xdr:col>
      <xdr:colOff>408960</xdr:colOff>
      <xdr:row>22</xdr:row>
      <xdr:rowOff>87120</xdr:rowOff>
    </xdr:to>
    <xdr:graphicFrame>
      <xdr:nvGraphicFramePr>
        <xdr:cNvPr id="3" name="Chart 1"/>
        <xdr:cNvGraphicFramePr/>
      </xdr:nvGraphicFramePr>
      <xdr:xfrm>
        <a:off x="9648720" y="571680"/>
        <a:ext cx="647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126000</xdr:rowOff>
    </xdr:from>
    <xdr:to>
      <xdr:col>14</xdr:col>
      <xdr:colOff>408960</xdr:colOff>
      <xdr:row>23</xdr:row>
      <xdr:rowOff>84960</xdr:rowOff>
    </xdr:to>
    <xdr:graphicFrame>
      <xdr:nvGraphicFramePr>
        <xdr:cNvPr id="4" name="Chart 1"/>
        <xdr:cNvGraphicFramePr/>
      </xdr:nvGraphicFramePr>
      <xdr:xfrm>
        <a:off x="8048520" y="571680"/>
        <a:ext cx="647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126000</xdr:rowOff>
    </xdr:from>
    <xdr:to>
      <xdr:col>12</xdr:col>
      <xdr:colOff>87840</xdr:colOff>
      <xdr:row>20</xdr:row>
      <xdr:rowOff>108000</xdr:rowOff>
    </xdr:to>
    <xdr:graphicFrame>
      <xdr:nvGraphicFramePr>
        <xdr:cNvPr id="5" name="Chart 1"/>
        <xdr:cNvGraphicFramePr/>
      </xdr:nvGraphicFramePr>
      <xdr:xfrm>
        <a:off x="6448320" y="571680"/>
        <a:ext cx="539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22</xdr:row>
      <xdr:rowOff>127800</xdr:rowOff>
    </xdr:from>
    <xdr:to>
      <xdr:col>12</xdr:col>
      <xdr:colOff>87840</xdr:colOff>
      <xdr:row>41</xdr:row>
      <xdr:rowOff>107640</xdr:rowOff>
    </xdr:to>
    <xdr:graphicFrame>
      <xdr:nvGraphicFramePr>
        <xdr:cNvPr id="6" name="Chart 2"/>
        <xdr:cNvGraphicFramePr/>
      </xdr:nvGraphicFramePr>
      <xdr:xfrm>
        <a:off x="6448320" y="4572000"/>
        <a:ext cx="539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xdr:row>
      <xdr:rowOff>125640</xdr:rowOff>
    </xdr:from>
    <xdr:to>
      <xdr:col>5</xdr:col>
      <xdr:colOff>200160</xdr:colOff>
      <xdr:row>31</xdr:row>
      <xdr:rowOff>84960</xdr:rowOff>
    </xdr:to>
    <xdr:graphicFrame>
      <xdr:nvGraphicFramePr>
        <xdr:cNvPr id="7" name="Chart 1"/>
        <xdr:cNvGraphicFramePr/>
      </xdr:nvGraphicFramePr>
      <xdr:xfrm>
        <a:off x="888840" y="2095560"/>
        <a:ext cx="57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10</xdr:row>
      <xdr:rowOff>125640</xdr:rowOff>
    </xdr:from>
    <xdr:to>
      <xdr:col>15</xdr:col>
      <xdr:colOff>486720</xdr:colOff>
      <xdr:row>31</xdr:row>
      <xdr:rowOff>84960</xdr:rowOff>
    </xdr:to>
    <xdr:graphicFrame>
      <xdr:nvGraphicFramePr>
        <xdr:cNvPr id="8" name="Chart 2"/>
        <xdr:cNvGraphicFramePr/>
      </xdr:nvGraphicFramePr>
      <xdr:xfrm>
        <a:off x="11296800" y="2095560"/>
        <a:ext cx="503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126000</xdr:rowOff>
    </xdr:from>
    <xdr:to>
      <xdr:col>11</xdr:col>
      <xdr:colOff>447840</xdr:colOff>
      <xdr:row>22</xdr:row>
      <xdr:rowOff>87120</xdr:rowOff>
    </xdr:to>
    <xdr:graphicFrame>
      <xdr:nvGraphicFramePr>
        <xdr:cNvPr id="9" name="Chart 1"/>
        <xdr:cNvGraphicFramePr/>
      </xdr:nvGraphicFramePr>
      <xdr:xfrm>
        <a:off x="4848120" y="571680"/>
        <a:ext cx="57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12</xdr:row>
      <xdr:rowOff>125640</xdr:rowOff>
    </xdr:from>
    <xdr:to>
      <xdr:col>5</xdr:col>
      <xdr:colOff>1314720</xdr:colOff>
      <xdr:row>33</xdr:row>
      <xdr:rowOff>84960</xdr:rowOff>
    </xdr:to>
    <xdr:graphicFrame>
      <xdr:nvGraphicFramePr>
        <xdr:cNvPr id="10" name="Chart 1"/>
        <xdr:cNvGraphicFramePr/>
      </xdr:nvGraphicFramePr>
      <xdr:xfrm>
        <a:off x="800280" y="2476440"/>
        <a:ext cx="57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12</xdr:row>
      <xdr:rowOff>125640</xdr:rowOff>
    </xdr:from>
    <xdr:to>
      <xdr:col>14</xdr:col>
      <xdr:colOff>781560</xdr:colOff>
      <xdr:row>33</xdr:row>
      <xdr:rowOff>84960</xdr:rowOff>
    </xdr:to>
    <xdr:graphicFrame>
      <xdr:nvGraphicFramePr>
        <xdr:cNvPr id="11" name="Chart 2"/>
        <xdr:cNvGraphicFramePr/>
      </xdr:nvGraphicFramePr>
      <xdr:xfrm>
        <a:off x="12001680" y="2476440"/>
        <a:ext cx="575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36"/>
    <col collapsed="false" customWidth="true" hidden="false" outlineLevel="0" max="3" min="3" style="0" width="80"/>
  </cols>
  <sheetData>
    <row r="1" customFormat="false" ht="21.6"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c r="B5" s="3" t="s">
        <v>4</v>
      </c>
      <c r="C5" s="3" t="s">
        <v>5</v>
      </c>
    </row>
    <row r="6" customFormat="false" ht="15" hidden="false" customHeight="false" outlineLevel="0" collapsed="false">
      <c r="A6" s="4" t="s">
        <v>6</v>
      </c>
      <c r="B6" s="4" t="s">
        <v>7</v>
      </c>
      <c r="C6" s="4" t="s">
        <v>8</v>
      </c>
    </row>
    <row r="7" customFormat="false" ht="15" hidden="false" customHeight="false" outlineLevel="0" collapsed="false">
      <c r="A7" s="4" t="s">
        <v>9</v>
      </c>
      <c r="B7" s="5" t="s">
        <v>10</v>
      </c>
      <c r="C7" s="5" t="s">
        <v>11</v>
      </c>
    </row>
    <row r="8" customFormat="false" ht="15" hidden="false" customHeight="false" outlineLevel="0" collapsed="false">
      <c r="A8" s="4" t="s">
        <v>12</v>
      </c>
      <c r="B8" s="5" t="s">
        <v>13</v>
      </c>
      <c r="C8" s="5" t="s">
        <v>14</v>
      </c>
    </row>
    <row r="9" customFormat="false" ht="15" hidden="false" customHeight="false" outlineLevel="0" collapsed="false">
      <c r="A9" s="4" t="s">
        <v>15</v>
      </c>
      <c r="B9" s="5" t="s">
        <v>16</v>
      </c>
      <c r="C9" s="4" t="s">
        <v>17</v>
      </c>
    </row>
    <row r="10" customFormat="false" ht="15" hidden="false" customHeight="false" outlineLevel="0" collapsed="false">
      <c r="A10" s="4" t="s">
        <v>18</v>
      </c>
      <c r="B10" s="5" t="s">
        <v>19</v>
      </c>
      <c r="C10" s="5" t="s">
        <v>20</v>
      </c>
    </row>
    <row r="11" customFormat="false" ht="15" hidden="false" customHeight="false" outlineLevel="0" collapsed="false">
      <c r="A11" s="4" t="s">
        <v>21</v>
      </c>
      <c r="B11" s="5" t="s">
        <v>22</v>
      </c>
      <c r="C11" s="5" t="s">
        <v>23</v>
      </c>
    </row>
    <row r="12" customFormat="false" ht="15" hidden="false" customHeight="false" outlineLevel="0" collapsed="false">
      <c r="A12" s="4" t="s">
        <v>24</v>
      </c>
      <c r="B12" s="5" t="s">
        <v>25</v>
      </c>
      <c r="C12" s="5" t="s">
        <v>26</v>
      </c>
    </row>
    <row r="13" customFormat="false" ht="15" hidden="false" customHeight="false" outlineLevel="0" collapsed="false">
      <c r="A13" s="4" t="s">
        <v>27</v>
      </c>
      <c r="B13" s="5" t="s">
        <v>28</v>
      </c>
      <c r="C13" s="5"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5" min="2" style="0" width="18"/>
  </cols>
  <sheetData>
    <row r="1" customFormat="false" ht="20.1" hidden="false" customHeight="false" outlineLevel="0" collapsed="false">
      <c r="A1" s="6" t="s">
        <v>30</v>
      </c>
    </row>
    <row r="2" customFormat="false" ht="15" hidden="false" customHeight="false" outlineLevel="0" collapsed="false">
      <c r="A2" s="2" t="s">
        <v>31</v>
      </c>
    </row>
    <row r="4" customFormat="false" ht="29.85" hidden="false" customHeight="false" outlineLevel="0" collapsed="false">
      <c r="A4" s="7" t="s">
        <v>32</v>
      </c>
      <c r="B4" s="7" t="s">
        <v>33</v>
      </c>
      <c r="C4" s="7" t="s">
        <v>34</v>
      </c>
      <c r="D4" s="7" t="s">
        <v>35</v>
      </c>
      <c r="E4" s="7" t="s">
        <v>36</v>
      </c>
    </row>
    <row r="5" customFormat="false" ht="15" hidden="false" customHeight="false" outlineLevel="0" collapsed="false">
      <c r="A5" s="4" t="s">
        <v>37</v>
      </c>
      <c r="B5" s="4" t="n">
        <v>16</v>
      </c>
      <c r="C5" s="4" t="n">
        <v>0</v>
      </c>
      <c r="D5" s="4" t="n">
        <v>0</v>
      </c>
      <c r="E5" s="4" t="n">
        <v>0</v>
      </c>
    </row>
    <row r="6" customFormat="false" ht="15" hidden="false" customHeight="false" outlineLevel="0" collapsed="false">
      <c r="A6" s="4" t="s">
        <v>38</v>
      </c>
      <c r="B6" s="4" t="n">
        <v>0</v>
      </c>
      <c r="C6" s="4" t="n">
        <v>0</v>
      </c>
      <c r="D6" s="4" t="n">
        <v>0</v>
      </c>
      <c r="E6" s="4" t="n">
        <v>0</v>
      </c>
    </row>
    <row r="7" customFormat="false" ht="15" hidden="false" customHeight="false" outlineLevel="0" collapsed="false">
      <c r="A7" s="4" t="s">
        <v>39</v>
      </c>
      <c r="B7" s="4" t="n">
        <v>0</v>
      </c>
      <c r="C7" s="4" t="n">
        <v>0</v>
      </c>
      <c r="D7" s="4" t="n">
        <v>0</v>
      </c>
      <c r="E7" s="4" t="n">
        <v>39</v>
      </c>
    </row>
    <row r="8" customFormat="false" ht="15" hidden="false" customHeight="false" outlineLevel="0" collapsed="false">
      <c r="A8" s="4" t="s">
        <v>40</v>
      </c>
      <c r="B8" s="4" t="n">
        <v>0</v>
      </c>
      <c r="C8" s="4" t="n">
        <v>0</v>
      </c>
      <c r="D8" s="4" t="n">
        <v>0</v>
      </c>
      <c r="E8" s="4" t="n">
        <v>693</v>
      </c>
    </row>
    <row r="9" customFormat="false" ht="15" hidden="false" customHeight="false" outlineLevel="0" collapsed="false">
      <c r="A9" s="4" t="s">
        <v>41</v>
      </c>
      <c r="B9" s="4" t="n">
        <v>79</v>
      </c>
      <c r="C9" s="4" t="n">
        <v>0</v>
      </c>
      <c r="D9" s="4" t="n">
        <v>0</v>
      </c>
      <c r="E9" s="4" t="n">
        <v>867</v>
      </c>
    </row>
    <row r="10" customFormat="false" ht="15" hidden="false" customHeight="false" outlineLevel="0" collapsed="false">
      <c r="A10" s="4" t="s">
        <v>42</v>
      </c>
      <c r="B10" s="4" t="n">
        <v>177</v>
      </c>
      <c r="C10" s="4" t="n">
        <v>0</v>
      </c>
      <c r="D10" s="4" t="n">
        <v>0</v>
      </c>
      <c r="E10" s="4" t="n">
        <v>1515</v>
      </c>
    </row>
    <row r="11" customFormat="false" ht="15" hidden="false" customHeight="false" outlineLevel="0" collapsed="false">
      <c r="A11" s="4" t="s">
        <v>43</v>
      </c>
      <c r="B11" s="4" t="n">
        <v>861</v>
      </c>
      <c r="C11" s="4" t="n">
        <v>5</v>
      </c>
      <c r="D11" s="4" t="n">
        <v>1.9</v>
      </c>
      <c r="E11" s="4" t="n">
        <v>1909</v>
      </c>
    </row>
    <row r="12" customFormat="false" ht="15" hidden="false" customHeight="false" outlineLevel="0" collapsed="false">
      <c r="A12" s="4" t="s">
        <v>44</v>
      </c>
      <c r="B12" s="4" t="n">
        <v>621</v>
      </c>
      <c r="C12" s="4" t="n">
        <v>2</v>
      </c>
      <c r="D12" s="4" t="n">
        <v>0.8</v>
      </c>
      <c r="E12" s="4" t="n">
        <v>2178</v>
      </c>
    </row>
    <row r="13" customFormat="false" ht="15" hidden="false" customHeight="false" outlineLevel="0" collapsed="false">
      <c r="A13" s="4" t="s">
        <v>45</v>
      </c>
      <c r="B13" s="4" t="n">
        <v>348</v>
      </c>
      <c r="C13" s="4" t="n">
        <v>2</v>
      </c>
      <c r="D13" s="4" t="n">
        <v>2.7</v>
      </c>
      <c r="E13" s="4" t="n">
        <v>1167</v>
      </c>
    </row>
    <row r="14" customFormat="false" ht="15" hidden="false" customHeight="false" outlineLevel="0" collapsed="false">
      <c r="A14" s="4" t="s">
        <v>46</v>
      </c>
      <c r="B14" s="4" t="n">
        <v>473</v>
      </c>
      <c r="C14" s="4" t="n">
        <v>18</v>
      </c>
      <c r="D14" s="4" t="n">
        <v>16.2</v>
      </c>
      <c r="E14" s="4" t="n">
        <v>983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5" min="2" style="0" width="16"/>
  </cols>
  <sheetData>
    <row r="1" customFormat="false" ht="20.1" hidden="false" customHeight="false" outlineLevel="0" collapsed="false">
      <c r="A1" s="6" t="s">
        <v>47</v>
      </c>
    </row>
    <row r="2" customFormat="false" ht="15" hidden="false" customHeight="false" outlineLevel="0" collapsed="false">
      <c r="A2" s="2" t="s">
        <v>48</v>
      </c>
    </row>
    <row r="4" customFormat="false" ht="15" hidden="false" customHeight="false" outlineLevel="0" collapsed="false">
      <c r="A4" s="7" t="s">
        <v>49</v>
      </c>
      <c r="B4" s="8" t="s">
        <v>37</v>
      </c>
      <c r="C4" s="8" t="s">
        <v>40</v>
      </c>
      <c r="D4" s="8" t="s">
        <v>44</v>
      </c>
      <c r="E4" s="8" t="s">
        <v>46</v>
      </c>
    </row>
    <row r="5" customFormat="false" ht="15" hidden="false" customHeight="false" outlineLevel="0" collapsed="false">
      <c r="A5" s="9" t="n">
        <v>0</v>
      </c>
      <c r="B5" s="9" t="n">
        <v>8.64227397260274</v>
      </c>
      <c r="C5" s="9" t="n">
        <v>9.0757650273224</v>
      </c>
      <c r="D5" s="9" t="n">
        <v>12.3151092896175</v>
      </c>
      <c r="E5" s="9" t="n">
        <v>11.7345479452055</v>
      </c>
    </row>
    <row r="6" customFormat="false" ht="15" hidden="false" customHeight="false" outlineLevel="0" collapsed="false">
      <c r="A6" s="9" t="n">
        <v>0.5</v>
      </c>
      <c r="B6" s="9" t="n">
        <v>8.32679452054795</v>
      </c>
      <c r="C6" s="9" t="n">
        <v>8.58267759562842</v>
      </c>
      <c r="D6" s="9" t="n">
        <v>11.6987158469945</v>
      </c>
      <c r="E6" s="9" t="n">
        <v>10.9538630136986</v>
      </c>
    </row>
    <row r="7" customFormat="false" ht="15" hidden="false" customHeight="false" outlineLevel="0" collapsed="false">
      <c r="A7" s="9" t="n">
        <v>1</v>
      </c>
      <c r="B7" s="9" t="n">
        <v>8.1818904109589</v>
      </c>
      <c r="C7" s="9" t="n">
        <v>8.25357923497268</v>
      </c>
      <c r="D7" s="9" t="n">
        <v>11.4940163934426</v>
      </c>
      <c r="E7" s="9" t="n">
        <v>10.9441369863014</v>
      </c>
    </row>
    <row r="8" customFormat="false" ht="15" hidden="false" customHeight="false" outlineLevel="0" collapsed="false">
      <c r="A8" s="9" t="n">
        <v>1.5</v>
      </c>
      <c r="B8" s="9" t="n">
        <v>8.09093150684932</v>
      </c>
      <c r="C8" s="9" t="n">
        <v>8.04254098360656</v>
      </c>
      <c r="D8" s="9" t="n">
        <v>11.4299726775956</v>
      </c>
      <c r="E8" s="9" t="n">
        <v>10.8517808219178</v>
      </c>
    </row>
    <row r="9" customFormat="false" ht="15" hidden="false" customHeight="false" outlineLevel="0" collapsed="false">
      <c r="A9" s="9" t="n">
        <v>2</v>
      </c>
      <c r="B9" s="9" t="n">
        <v>8.04709589041096</v>
      </c>
      <c r="C9" s="9" t="n">
        <v>7.97808743169399</v>
      </c>
      <c r="D9" s="9" t="n">
        <v>11.4747540983607</v>
      </c>
      <c r="E9" s="9" t="n">
        <v>10.9896712328767</v>
      </c>
    </row>
    <row r="10" customFormat="false" ht="15" hidden="false" customHeight="false" outlineLevel="0" collapsed="false">
      <c r="A10" s="9" t="n">
        <v>2.5</v>
      </c>
      <c r="B10" s="9" t="n">
        <v>8.02098630136986</v>
      </c>
      <c r="C10" s="9" t="n">
        <v>7.88997267759563</v>
      </c>
      <c r="D10" s="9" t="n">
        <v>11.5090983606557</v>
      </c>
      <c r="E10" s="9" t="n">
        <v>11.3225479452055</v>
      </c>
    </row>
    <row r="11" customFormat="false" ht="15" hidden="false" customHeight="false" outlineLevel="0" collapsed="false">
      <c r="A11" s="9" t="n">
        <v>3</v>
      </c>
      <c r="B11" s="9" t="n">
        <v>7.99802739726028</v>
      </c>
      <c r="C11" s="9" t="n">
        <v>7.98975409836066</v>
      </c>
      <c r="D11" s="9" t="n">
        <v>11.5953278688525</v>
      </c>
      <c r="E11" s="9" t="n">
        <v>11.4750684931507</v>
      </c>
    </row>
    <row r="12" customFormat="false" ht="15" hidden="false" customHeight="false" outlineLevel="0" collapsed="false">
      <c r="A12" s="9" t="n">
        <v>3.5</v>
      </c>
      <c r="B12" s="9" t="n">
        <v>7.98241095890411</v>
      </c>
      <c r="C12" s="9" t="n">
        <v>7.98382513661202</v>
      </c>
      <c r="D12" s="9" t="n">
        <v>11.6359016393443</v>
      </c>
      <c r="E12" s="9" t="n">
        <v>11.632602739726</v>
      </c>
    </row>
    <row r="13" customFormat="false" ht="15" hidden="false" customHeight="false" outlineLevel="0" collapsed="false">
      <c r="A13" s="9" t="n">
        <v>4</v>
      </c>
      <c r="B13" s="9" t="n">
        <v>7.98619178082192</v>
      </c>
      <c r="C13" s="9" t="n">
        <v>8.02494535519126</v>
      </c>
      <c r="D13" s="9" t="n">
        <v>11.7247267759563</v>
      </c>
      <c r="E13" s="9" t="n">
        <v>11.7778356164384</v>
      </c>
    </row>
    <row r="14" customFormat="false" ht="15" hidden="false" customHeight="false" outlineLevel="0" collapsed="false">
      <c r="A14" s="9" t="n">
        <v>4.5</v>
      </c>
      <c r="B14" s="9" t="n">
        <v>8.02813698630137</v>
      </c>
      <c r="C14" s="9" t="n">
        <v>8.09896174863388</v>
      </c>
      <c r="D14" s="9" t="n">
        <v>11.7810928961749</v>
      </c>
      <c r="E14" s="9" t="n">
        <v>11.804794520548</v>
      </c>
    </row>
    <row r="15" customFormat="false" ht="15" hidden="false" customHeight="false" outlineLevel="0" collapsed="false">
      <c r="A15" s="9" t="n">
        <v>5</v>
      </c>
      <c r="B15" s="9" t="n">
        <v>8.11441095890411</v>
      </c>
      <c r="C15" s="9" t="n">
        <v>8.26024590163934</v>
      </c>
      <c r="D15" s="9" t="n">
        <v>11.9037431693989</v>
      </c>
      <c r="E15" s="9" t="n">
        <v>11.828301369863</v>
      </c>
    </row>
    <row r="16" customFormat="false" ht="15" hidden="false" customHeight="false" outlineLevel="0" collapsed="false">
      <c r="A16" s="9" t="n">
        <v>5.5</v>
      </c>
      <c r="B16" s="9" t="n">
        <v>8.23471232876712</v>
      </c>
      <c r="C16" s="9" t="n">
        <v>8.54467213114754</v>
      </c>
      <c r="D16" s="9" t="n">
        <v>11.8362295081967</v>
      </c>
      <c r="E16" s="9" t="n">
        <v>11.465095890411</v>
      </c>
    </row>
    <row r="17" customFormat="false" ht="15" hidden="false" customHeight="false" outlineLevel="0" collapsed="false">
      <c r="A17" s="9" t="n">
        <v>6</v>
      </c>
      <c r="B17" s="9" t="n">
        <v>8.75649315068493</v>
      </c>
      <c r="C17" s="9" t="n">
        <v>8.76803278688525</v>
      </c>
      <c r="D17" s="9" t="n">
        <v>11.7369398907104</v>
      </c>
      <c r="E17" s="9" t="n">
        <v>11.7490684931507</v>
      </c>
    </row>
    <row r="18" customFormat="false" ht="15" hidden="false" customHeight="false" outlineLevel="0" collapsed="false">
      <c r="A18" s="9" t="n">
        <v>6.5</v>
      </c>
      <c r="B18" s="9" t="n">
        <v>9.42276712328767</v>
      </c>
      <c r="C18" s="9" t="n">
        <v>9.32907103825137</v>
      </c>
      <c r="D18" s="9" t="n">
        <v>11.5515846994536</v>
      </c>
      <c r="E18" s="9" t="n">
        <v>11.4324383561644</v>
      </c>
    </row>
    <row r="19" customFormat="false" ht="15" hidden="false" customHeight="false" outlineLevel="0" collapsed="false">
      <c r="A19" s="9" t="n">
        <v>7</v>
      </c>
      <c r="B19" s="9" t="n">
        <v>10.2963561643836</v>
      </c>
      <c r="C19" s="9" t="n">
        <v>9.69215846994536</v>
      </c>
      <c r="D19" s="9" t="n">
        <v>10.8559836065574</v>
      </c>
      <c r="E19" s="9" t="n">
        <v>10.4939452054795</v>
      </c>
    </row>
    <row r="20" customFormat="false" ht="15" hidden="false" customHeight="false" outlineLevel="0" collapsed="false">
      <c r="A20" s="9" t="n">
        <v>7.5</v>
      </c>
      <c r="B20" s="9" t="n">
        <v>10.5758082191781</v>
      </c>
      <c r="C20" s="9" t="n">
        <v>9.70453551912568</v>
      </c>
      <c r="D20" s="9" t="n">
        <v>10.0753551912568</v>
      </c>
      <c r="E20" s="9" t="n">
        <v>9.98715068493151</v>
      </c>
    </row>
    <row r="21" customFormat="false" ht="15" hidden="false" customHeight="false" outlineLevel="0" collapsed="false">
      <c r="A21" s="9" t="n">
        <v>8</v>
      </c>
      <c r="B21" s="9" t="n">
        <v>11.1337260273973</v>
      </c>
      <c r="C21" s="9" t="n">
        <v>9.98360655737705</v>
      </c>
      <c r="D21" s="9" t="n">
        <v>9.90169398907104</v>
      </c>
      <c r="E21" s="9" t="n">
        <v>9.84290410958904</v>
      </c>
    </row>
    <row r="22" customFormat="false" ht="15" hidden="false" customHeight="false" outlineLevel="0" collapsed="false">
      <c r="A22" s="9" t="n">
        <v>8.5</v>
      </c>
      <c r="B22" s="9" t="n">
        <v>12.4973698630137</v>
      </c>
      <c r="C22" s="9" t="n">
        <v>10.5133879781421</v>
      </c>
      <c r="D22" s="9" t="n">
        <v>9.7192349726776</v>
      </c>
      <c r="E22" s="9" t="n">
        <v>9.75846575342466</v>
      </c>
    </row>
    <row r="23" customFormat="false" ht="15" hidden="false" customHeight="false" outlineLevel="0" collapsed="false">
      <c r="A23" s="9" t="n">
        <v>9</v>
      </c>
      <c r="B23" s="9" t="n">
        <v>13.4846301369863</v>
      </c>
      <c r="C23" s="9" t="n">
        <v>11.0945081967213</v>
      </c>
      <c r="D23" s="9" t="n">
        <v>9.32734972677596</v>
      </c>
      <c r="E23" s="9" t="n">
        <v>9.31761643835617</v>
      </c>
    </row>
    <row r="24" customFormat="false" ht="15" hidden="false" customHeight="false" outlineLevel="0" collapsed="false">
      <c r="A24" s="9" t="n">
        <v>9.5</v>
      </c>
      <c r="B24" s="9" t="n">
        <v>13.5973424657534</v>
      </c>
      <c r="C24" s="9" t="n">
        <v>10.7960382513661</v>
      </c>
      <c r="D24" s="9" t="n">
        <v>8.59172131147541</v>
      </c>
      <c r="E24" s="9" t="n">
        <v>8.72819178082192</v>
      </c>
    </row>
    <row r="25" customFormat="false" ht="15" hidden="false" customHeight="false" outlineLevel="0" collapsed="false">
      <c r="A25" s="9" t="n">
        <v>10</v>
      </c>
      <c r="B25" s="9" t="n">
        <v>13.7228219178082</v>
      </c>
      <c r="C25" s="9" t="n">
        <v>10.3332513661202</v>
      </c>
      <c r="D25" s="9" t="n">
        <v>7.86428961748634</v>
      </c>
      <c r="E25" s="9" t="n">
        <v>7.88846575342466</v>
      </c>
    </row>
    <row r="26" customFormat="false" ht="15" hidden="false" customHeight="false" outlineLevel="0" collapsed="false">
      <c r="A26" s="9" t="n">
        <v>10.5</v>
      </c>
      <c r="B26" s="9" t="n">
        <v>13.7149315068493</v>
      </c>
      <c r="C26" s="9" t="n">
        <v>10.3607923497268</v>
      </c>
      <c r="D26" s="9" t="n">
        <v>7.48469945355191</v>
      </c>
      <c r="E26" s="9" t="n">
        <v>7.55950684931507</v>
      </c>
    </row>
    <row r="27" customFormat="false" ht="15" hidden="false" customHeight="false" outlineLevel="0" collapsed="false">
      <c r="A27" s="9" t="n">
        <v>11</v>
      </c>
      <c r="B27" s="9" t="n">
        <v>13.9768493150685</v>
      </c>
      <c r="C27" s="9" t="n">
        <v>10.258825136612</v>
      </c>
      <c r="D27" s="9" t="n">
        <v>7.2848087431694</v>
      </c>
      <c r="E27" s="9" t="n">
        <v>7.76731506849315</v>
      </c>
    </row>
    <row r="28" customFormat="false" ht="15" hidden="false" customHeight="false" outlineLevel="0" collapsed="false">
      <c r="A28" s="9" t="n">
        <v>11.5</v>
      </c>
      <c r="B28" s="9" t="n">
        <v>13.8255068493151</v>
      </c>
      <c r="C28" s="9" t="n">
        <v>10.1022677595628</v>
      </c>
      <c r="D28" s="9" t="n">
        <v>7.17912568306011</v>
      </c>
      <c r="E28" s="9" t="n">
        <v>7.5481095890411</v>
      </c>
    </row>
    <row r="29" customFormat="false" ht="15" hidden="false" customHeight="false" outlineLevel="0" collapsed="false">
      <c r="A29" s="9" t="n">
        <v>12</v>
      </c>
      <c r="B29" s="9" t="n">
        <v>12.2957534246575</v>
      </c>
      <c r="C29" s="9" t="n">
        <v>9.14106557377049</v>
      </c>
      <c r="D29" s="9" t="n">
        <v>6.19322404371585</v>
      </c>
      <c r="E29" s="9" t="n">
        <v>6.76901369863014</v>
      </c>
    </row>
    <row r="30" customFormat="false" ht="15" hidden="false" customHeight="false" outlineLevel="0" collapsed="false">
      <c r="A30" s="9" t="n">
        <v>12.5</v>
      </c>
      <c r="B30" s="9" t="n">
        <v>12.4451506849315</v>
      </c>
      <c r="C30" s="9" t="n">
        <v>9.17866120218579</v>
      </c>
      <c r="D30" s="9" t="n">
        <v>6.47748633879782</v>
      </c>
      <c r="E30" s="9" t="n">
        <v>6.9458904109589</v>
      </c>
    </row>
    <row r="31" customFormat="false" ht="15" hidden="false" customHeight="false" outlineLevel="0" collapsed="false">
      <c r="A31" s="9" t="n">
        <v>13</v>
      </c>
      <c r="B31" s="9" t="n">
        <v>14.0291506849315</v>
      </c>
      <c r="C31" s="9" t="n">
        <v>10.1328415300546</v>
      </c>
      <c r="D31" s="9" t="n">
        <v>7.83915300546448</v>
      </c>
      <c r="E31" s="9" t="n">
        <v>8.25317808219178</v>
      </c>
    </row>
    <row r="32" customFormat="false" ht="15" hidden="false" customHeight="false" outlineLevel="0" collapsed="false">
      <c r="A32" s="9" t="n">
        <v>13.5</v>
      </c>
      <c r="B32" s="9" t="n">
        <v>14.7909589041096</v>
      </c>
      <c r="C32" s="9" t="n">
        <v>10.6743715846995</v>
      </c>
      <c r="D32" s="9" t="n">
        <v>8.7624043715847</v>
      </c>
      <c r="E32" s="9" t="n">
        <v>9.13024657534247</v>
      </c>
    </row>
    <row r="33" customFormat="false" ht="15" hidden="false" customHeight="false" outlineLevel="0" collapsed="false">
      <c r="A33" s="9" t="n">
        <v>14</v>
      </c>
      <c r="B33" s="9" t="n">
        <v>15.3262465753425</v>
      </c>
      <c r="C33" s="9" t="n">
        <v>11.3102732240437</v>
      </c>
      <c r="D33" s="9" t="n">
        <v>9.39475409836066</v>
      </c>
      <c r="E33" s="9" t="n">
        <v>9.58279452054794</v>
      </c>
    </row>
    <row r="34" customFormat="false" ht="15" hidden="false" customHeight="false" outlineLevel="0" collapsed="false">
      <c r="A34" s="9" t="n">
        <v>14.5</v>
      </c>
      <c r="B34" s="9" t="n">
        <v>16.4150410958904</v>
      </c>
      <c r="C34" s="9" t="n">
        <v>12.0911475409836</v>
      </c>
      <c r="D34" s="9" t="n">
        <v>10.5669672131148</v>
      </c>
      <c r="E34" s="9" t="n">
        <v>10.3274520547945</v>
      </c>
    </row>
    <row r="35" customFormat="false" ht="15" hidden="false" customHeight="false" outlineLevel="0" collapsed="false">
      <c r="A35" s="9" t="n">
        <v>15</v>
      </c>
      <c r="B35" s="9" t="n">
        <v>15.9730136986301</v>
      </c>
      <c r="C35" s="9" t="n">
        <v>12.7655464480874</v>
      </c>
      <c r="D35" s="9" t="n">
        <v>11.5353551912568</v>
      </c>
      <c r="E35" s="9" t="n">
        <v>11.2293150684932</v>
      </c>
    </row>
    <row r="36" customFormat="false" ht="15" hidden="false" customHeight="false" outlineLevel="0" collapsed="false">
      <c r="A36" s="9" t="n">
        <v>15.5</v>
      </c>
      <c r="B36" s="9" t="n">
        <v>17.469698630137</v>
      </c>
      <c r="C36" s="9" t="n">
        <v>13.8296721311475</v>
      </c>
      <c r="D36" s="9" t="n">
        <v>12.7603278688525</v>
      </c>
      <c r="E36" s="9" t="n">
        <v>13.3361917808219</v>
      </c>
    </row>
    <row r="37" customFormat="false" ht="15" hidden="false" customHeight="false" outlineLevel="0" collapsed="false">
      <c r="A37" s="9" t="n">
        <v>16</v>
      </c>
      <c r="B37" s="9" t="n">
        <v>18.0093698630137</v>
      </c>
      <c r="C37" s="9" t="n">
        <v>14.9858743169399</v>
      </c>
      <c r="D37" s="9" t="n">
        <v>13.7803005464481</v>
      </c>
      <c r="E37" s="9" t="n">
        <v>14.6784657534247</v>
      </c>
    </row>
    <row r="38" customFormat="false" ht="15" hidden="false" customHeight="false" outlineLevel="0" collapsed="false">
      <c r="A38" s="9" t="n">
        <v>16.5</v>
      </c>
      <c r="B38" s="9" t="n">
        <v>18.052602739726</v>
      </c>
      <c r="C38" s="9" t="n">
        <v>15.7549180327869</v>
      </c>
      <c r="D38" s="9" t="n">
        <v>14.9021584699454</v>
      </c>
      <c r="E38" s="9" t="n">
        <v>16.5627123287671</v>
      </c>
    </row>
    <row r="39" customFormat="false" ht="15" hidden="false" customHeight="false" outlineLevel="0" collapsed="false">
      <c r="A39" s="9" t="n">
        <v>17</v>
      </c>
      <c r="B39" s="9" t="n">
        <v>16.7482191780822</v>
      </c>
      <c r="C39" s="9" t="n">
        <v>15.1003278688525</v>
      </c>
      <c r="D39" s="9" t="n">
        <v>15.1453825136612</v>
      </c>
      <c r="E39" s="9" t="n">
        <v>16.4627123287671</v>
      </c>
    </row>
    <row r="40" customFormat="false" ht="15" hidden="false" customHeight="false" outlineLevel="0" collapsed="false">
      <c r="A40" s="9" t="n">
        <v>17.5</v>
      </c>
      <c r="B40" s="9" t="n">
        <v>16.0383287671233</v>
      </c>
      <c r="C40" s="9" t="n">
        <v>15.112131147541</v>
      </c>
      <c r="D40" s="9" t="n">
        <v>15.5423770491803</v>
      </c>
      <c r="E40" s="9" t="n">
        <v>17.0397808219178</v>
      </c>
    </row>
    <row r="41" customFormat="false" ht="15" hidden="false" customHeight="false" outlineLevel="0" collapsed="false">
      <c r="A41" s="9" t="n">
        <v>18</v>
      </c>
      <c r="B41" s="9" t="n">
        <v>15.5202191780822</v>
      </c>
      <c r="C41" s="9" t="n">
        <v>15.4103551912568</v>
      </c>
      <c r="D41" s="9" t="n">
        <v>15.5031147540984</v>
      </c>
      <c r="E41" s="9" t="n">
        <v>17.1644931506849</v>
      </c>
    </row>
    <row r="42" customFormat="false" ht="15" hidden="false" customHeight="false" outlineLevel="0" collapsed="false">
      <c r="A42" s="9" t="n">
        <v>18.5</v>
      </c>
      <c r="B42" s="9" t="n">
        <v>15.1984383561644</v>
      </c>
      <c r="C42" s="9" t="n">
        <v>15.1155464480874</v>
      </c>
      <c r="D42" s="9" t="n">
        <v>15.5210655737705</v>
      </c>
      <c r="E42" s="9" t="n">
        <v>17.0268219178082</v>
      </c>
    </row>
    <row r="43" customFormat="false" ht="15" hidden="false" customHeight="false" outlineLevel="0" collapsed="false">
      <c r="A43" s="9" t="n">
        <v>19</v>
      </c>
      <c r="B43" s="9" t="n">
        <v>14.3218630136986</v>
      </c>
      <c r="C43" s="9" t="n">
        <v>14.2814207650273</v>
      </c>
      <c r="D43" s="9" t="n">
        <v>15.144781420765</v>
      </c>
      <c r="E43" s="9" t="n">
        <v>16.582904109589</v>
      </c>
    </row>
    <row r="44" customFormat="false" ht="15" hidden="false" customHeight="false" outlineLevel="0" collapsed="false">
      <c r="A44" s="9" t="n">
        <v>19.5</v>
      </c>
      <c r="B44" s="9" t="n">
        <v>13.4070684931507</v>
      </c>
      <c r="C44" s="9" t="n">
        <v>13.3922404371585</v>
      </c>
      <c r="D44" s="9" t="n">
        <v>14.7225683060109</v>
      </c>
      <c r="E44" s="9" t="n">
        <v>15.8610684931507</v>
      </c>
    </row>
    <row r="45" customFormat="false" ht="15" hidden="false" customHeight="false" outlineLevel="0" collapsed="false">
      <c r="A45" s="9" t="n">
        <v>20</v>
      </c>
      <c r="B45" s="9" t="n">
        <v>12.7002465753425</v>
      </c>
      <c r="C45" s="9" t="n">
        <v>12.8627868852459</v>
      </c>
      <c r="D45" s="9" t="n">
        <v>14.426912568306</v>
      </c>
      <c r="E45" s="9" t="n">
        <v>15.4099452054795</v>
      </c>
    </row>
    <row r="46" customFormat="false" ht="15" hidden="false" customHeight="false" outlineLevel="0" collapsed="false">
      <c r="A46" s="9" t="n">
        <v>20.5</v>
      </c>
      <c r="B46" s="9" t="n">
        <v>11.8153150684932</v>
      </c>
      <c r="C46" s="9" t="n">
        <v>12.1724590163934</v>
      </c>
      <c r="D46" s="9" t="n">
        <v>13.9881967213115</v>
      </c>
      <c r="E46" s="9" t="n">
        <v>14.7148767123288</v>
      </c>
    </row>
    <row r="47" customFormat="false" ht="15" hidden="false" customHeight="false" outlineLevel="0" collapsed="false">
      <c r="A47" s="9" t="n">
        <v>21</v>
      </c>
      <c r="B47" s="9" t="n">
        <v>11.0024383561644</v>
      </c>
      <c r="C47" s="9" t="n">
        <v>11.334781420765</v>
      </c>
      <c r="D47" s="9" t="n">
        <v>13.5642896174863</v>
      </c>
      <c r="E47" s="9" t="n">
        <v>13.975095890411</v>
      </c>
    </row>
    <row r="48" customFormat="false" ht="15" hidden="false" customHeight="false" outlineLevel="0" collapsed="false">
      <c r="A48" s="9" t="n">
        <v>21.5</v>
      </c>
      <c r="B48" s="9" t="n">
        <v>10.1494794520548</v>
      </c>
      <c r="C48" s="9" t="n">
        <v>10.802650273224</v>
      </c>
      <c r="D48" s="9" t="n">
        <v>12.9951092896175</v>
      </c>
      <c r="E48" s="9" t="n">
        <v>12.9835342465753</v>
      </c>
    </row>
    <row r="49" customFormat="false" ht="15" hidden="false" customHeight="false" outlineLevel="0" collapsed="false">
      <c r="A49" s="9" t="n">
        <v>22</v>
      </c>
      <c r="B49" s="9" t="n">
        <v>10.7944383561644</v>
      </c>
      <c r="C49" s="9" t="n">
        <v>10.6865573770492</v>
      </c>
      <c r="D49" s="9" t="n">
        <v>12.6595901639344</v>
      </c>
      <c r="E49" s="9" t="n">
        <v>12.9303287671233</v>
      </c>
    </row>
    <row r="50" customFormat="false" ht="15" hidden="false" customHeight="false" outlineLevel="0" collapsed="false">
      <c r="A50" s="9" t="n">
        <v>22.5</v>
      </c>
      <c r="B50" s="9" t="n">
        <v>9.98613698630137</v>
      </c>
      <c r="C50" s="9" t="n">
        <v>10.4025956284153</v>
      </c>
      <c r="D50" s="9" t="n">
        <v>12.312349726776</v>
      </c>
      <c r="E50" s="9" t="n">
        <v>12.1004657534247</v>
      </c>
    </row>
    <row r="51" customFormat="false" ht="15" hidden="false" customHeight="false" outlineLevel="0" collapsed="false">
      <c r="A51" s="9" t="n">
        <v>23</v>
      </c>
      <c r="B51" s="9" t="n">
        <v>9.25715068493151</v>
      </c>
      <c r="C51" s="9" t="n">
        <v>9.75773224043716</v>
      </c>
      <c r="D51" s="9" t="n">
        <v>12.1334699453552</v>
      </c>
      <c r="E51" s="9" t="n">
        <v>12.3880273972603</v>
      </c>
    </row>
    <row r="52" customFormat="false" ht="15" hidden="false" customHeight="false" outlineLevel="0" collapsed="false">
      <c r="A52" s="9" t="n">
        <v>23.5</v>
      </c>
      <c r="B52" s="9" t="n">
        <v>8.75871232876712</v>
      </c>
      <c r="C52" s="9" t="n">
        <v>9.53871584699454</v>
      </c>
      <c r="D52" s="9" t="n">
        <v>11.5120218579235</v>
      </c>
      <c r="E52" s="9" t="n">
        <v>11.4512602739726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6" min="2" style="0" width="18"/>
  </cols>
  <sheetData>
    <row r="1" customFormat="false" ht="20.1" hidden="false" customHeight="false" outlineLevel="0" collapsed="false">
      <c r="A1" s="6" t="s">
        <v>50</v>
      </c>
    </row>
    <row r="2" customFormat="false" ht="15" hidden="false" customHeight="false" outlineLevel="0" collapsed="false">
      <c r="A2" s="2" t="s">
        <v>51</v>
      </c>
    </row>
    <row r="4" customFormat="false" ht="29.85" hidden="false" customHeight="false" outlineLevel="0" collapsed="false">
      <c r="A4" s="7" t="s">
        <v>32</v>
      </c>
      <c r="B4" s="7" t="s">
        <v>52</v>
      </c>
      <c r="C4" s="8" t="s">
        <v>53</v>
      </c>
      <c r="D4" s="8" t="s">
        <v>54</v>
      </c>
      <c r="E4" s="8" t="s">
        <v>55</v>
      </c>
      <c r="F4" s="7" t="s">
        <v>56</v>
      </c>
      <c r="G4" s="10" t="s">
        <v>57</v>
      </c>
      <c r="H4" s="10" t="s">
        <v>58</v>
      </c>
      <c r="I4" s="10" t="s">
        <v>59</v>
      </c>
    </row>
    <row r="5" customFormat="false" ht="15" hidden="false" customHeight="false" outlineLevel="0" collapsed="false">
      <c r="A5" s="4" t="s">
        <v>37</v>
      </c>
      <c r="B5" s="11" t="n">
        <v>10856.019</v>
      </c>
      <c r="C5" s="11" t="n">
        <v>7729.0935</v>
      </c>
      <c r="D5" s="11" t="n">
        <v>2435.9025</v>
      </c>
      <c r="E5" s="11" t="n">
        <v>2458.8225</v>
      </c>
      <c r="F5" s="11" t="n">
        <v>5823.13875</v>
      </c>
      <c r="G5" s="12" t="n">
        <f aca="false">C5/B5</f>
        <v>0.711963888419871</v>
      </c>
      <c r="H5" s="12" t="n">
        <f aca="false">D5/B5</f>
        <v>0.224382667347948</v>
      </c>
      <c r="I5" s="12" t="n">
        <f aca="false">E5/B5</f>
        <v>0.226493938523873</v>
      </c>
    </row>
    <row r="6" customFormat="false" ht="15" hidden="false" customHeight="false" outlineLevel="0" collapsed="false">
      <c r="A6" s="4" t="s">
        <v>38</v>
      </c>
      <c r="B6" s="11" t="n">
        <v>6356.454</v>
      </c>
      <c r="C6" s="11" t="n">
        <v>4592.39725</v>
      </c>
      <c r="D6" s="11" t="n">
        <v>1105.61375</v>
      </c>
      <c r="E6" s="11" t="n">
        <v>1075.307</v>
      </c>
      <c r="F6" s="11" t="n">
        <v>7982.02725</v>
      </c>
      <c r="G6" s="12" t="n">
        <f aca="false">C6/B6</f>
        <v>0.722477854791367</v>
      </c>
      <c r="H6" s="12" t="n">
        <f aca="false">D6/B6</f>
        <v>0.173935617248233</v>
      </c>
      <c r="I6" s="12" t="n">
        <f aca="false">E6/B6</f>
        <v>0.169167746671336</v>
      </c>
    </row>
    <row r="7" customFormat="false" ht="15" hidden="false" customHeight="false" outlineLevel="0" collapsed="false">
      <c r="A7" s="4" t="s">
        <v>39</v>
      </c>
      <c r="B7" s="11" t="n">
        <v>10302.0915</v>
      </c>
      <c r="C7" s="11" t="n">
        <v>6818.0205</v>
      </c>
      <c r="D7" s="11" t="n">
        <v>1015.58525</v>
      </c>
      <c r="E7" s="11" t="n">
        <v>940.7685</v>
      </c>
      <c r="F7" s="11" t="n">
        <v>5490.88475</v>
      </c>
      <c r="G7" s="12" t="n">
        <f aca="false">C7/B7</f>
        <v>0.661809352013618</v>
      </c>
      <c r="H7" s="12" t="n">
        <f aca="false">D7/B7</f>
        <v>0.0985804921262833</v>
      </c>
      <c r="I7" s="12" t="n">
        <f aca="false">E7/B7</f>
        <v>0.0913182046577629</v>
      </c>
    </row>
    <row r="8" customFormat="false" ht="15" hidden="false" customHeight="false" outlineLevel="0" collapsed="false">
      <c r="A8" s="4" t="s">
        <v>40</v>
      </c>
      <c r="B8" s="11" t="n">
        <v>8899.1025</v>
      </c>
      <c r="C8" s="11" t="n">
        <v>5893.0215</v>
      </c>
      <c r="D8" s="11" t="n">
        <v>3223.6775</v>
      </c>
      <c r="E8" s="11" t="n">
        <v>3134.70975</v>
      </c>
      <c r="F8" s="11" t="n">
        <v>5944.75575</v>
      </c>
      <c r="G8" s="12" t="n">
        <f aca="false">C8/B8</f>
        <v>0.662204025630674</v>
      </c>
      <c r="H8" s="12" t="n">
        <f aca="false">D8/B8</f>
        <v>0.362247485069421</v>
      </c>
      <c r="I8" s="12" t="n">
        <f aca="false">E8/B8</f>
        <v>0.352250100501708</v>
      </c>
    </row>
    <row r="9" customFormat="false" ht="15" hidden="false" customHeight="false" outlineLevel="0" collapsed="false">
      <c r="A9" s="4" t="s">
        <v>41</v>
      </c>
      <c r="B9" s="11" t="n">
        <v>15853.9855</v>
      </c>
      <c r="C9" s="11" t="n">
        <v>11755.55425</v>
      </c>
      <c r="D9" s="11" t="n">
        <v>5796.609</v>
      </c>
      <c r="E9" s="11" t="n">
        <v>5256.673</v>
      </c>
      <c r="F9" s="11" t="n">
        <v>16070.8805</v>
      </c>
      <c r="G9" s="12" t="n">
        <f aca="false">C9/B9</f>
        <v>0.741488898800872</v>
      </c>
      <c r="H9" s="12" t="n">
        <f aca="false">D9/B9</f>
        <v>0.365624719412037</v>
      </c>
      <c r="I9" s="12" t="n">
        <f aca="false">E9/B9</f>
        <v>0.331567920255762</v>
      </c>
    </row>
    <row r="10" customFormat="false" ht="15" hidden="false" customHeight="false" outlineLevel="0" collapsed="false">
      <c r="A10" s="4" t="s">
        <v>42</v>
      </c>
      <c r="B10" s="11" t="n">
        <v>13530.5155</v>
      </c>
      <c r="C10" s="11" t="n">
        <v>8879.3725</v>
      </c>
      <c r="D10" s="11" t="n">
        <v>8217.6855</v>
      </c>
      <c r="E10" s="11" t="n">
        <v>8152.62325</v>
      </c>
      <c r="F10" s="11" t="n">
        <v>16040.39325</v>
      </c>
      <c r="G10" s="12" t="n">
        <f aca="false">C10/B10</f>
        <v>0.65624790866246</v>
      </c>
      <c r="H10" s="12" t="n">
        <f aca="false">D10/B10</f>
        <v>0.607344598215789</v>
      </c>
      <c r="I10" s="12" t="n">
        <f aca="false">E10/B10</f>
        <v>0.602536041586886</v>
      </c>
    </row>
    <row r="11" customFormat="false" ht="15" hidden="false" customHeight="false" outlineLevel="0" collapsed="false">
      <c r="A11" s="4" t="s">
        <v>43</v>
      </c>
      <c r="B11" s="11" t="n">
        <v>25159.57</v>
      </c>
      <c r="C11" s="11" t="n">
        <v>18730.388</v>
      </c>
      <c r="D11" s="11" t="n">
        <v>19369.353</v>
      </c>
      <c r="E11" s="11" t="n">
        <v>19279.37375</v>
      </c>
      <c r="F11" s="11" t="n">
        <v>24367.18225</v>
      </c>
      <c r="G11" s="12" t="n">
        <f aca="false">C11/B11</f>
        <v>0.744463756733521</v>
      </c>
      <c r="H11" s="12" t="n">
        <f aca="false">D11/B11</f>
        <v>0.76986025595827</v>
      </c>
      <c r="I11" s="12" t="n">
        <f aca="false">E11/B11</f>
        <v>0.766283913039849</v>
      </c>
    </row>
    <row r="12" customFormat="false" ht="15" hidden="false" customHeight="false" outlineLevel="0" collapsed="false">
      <c r="A12" s="4" t="s">
        <v>44</v>
      </c>
      <c r="B12" s="11" t="n">
        <v>9873.465</v>
      </c>
      <c r="C12" s="11" t="n">
        <v>6734.827</v>
      </c>
      <c r="D12" s="11" t="n">
        <v>7634.8115</v>
      </c>
      <c r="E12" s="11" t="n">
        <v>7549.893</v>
      </c>
      <c r="F12" s="11" t="n">
        <v>12521.427</v>
      </c>
      <c r="G12" s="12" t="n">
        <f aca="false">C12/B12</f>
        <v>0.682113827313917</v>
      </c>
      <c r="H12" s="12" t="n">
        <f aca="false">D12/B12</f>
        <v>0.773265667118889</v>
      </c>
      <c r="I12" s="12" t="n">
        <f aca="false">E12/B12</f>
        <v>0.764664988431113</v>
      </c>
    </row>
    <row r="13" customFormat="false" ht="15" hidden="false" customHeight="false" outlineLevel="0" collapsed="false">
      <c r="A13" s="4" t="s">
        <v>45</v>
      </c>
      <c r="B13" s="11" t="n">
        <v>9586.42875</v>
      </c>
      <c r="C13" s="11" t="n">
        <v>6520.3355</v>
      </c>
      <c r="D13" s="11" t="n">
        <v>7497.1155</v>
      </c>
      <c r="E13" s="11" t="n">
        <v>7422.3345</v>
      </c>
      <c r="F13" s="11" t="n">
        <v>12401.45525</v>
      </c>
      <c r="G13" s="12" t="n">
        <f aca="false">C13/B13</f>
        <v>0.680163142087714</v>
      </c>
      <c r="H13" s="12" t="n">
        <f aca="false">D13/B13</f>
        <v>0.782055100550348</v>
      </c>
      <c r="I13" s="12" t="n">
        <f aca="false">E13/B13</f>
        <v>0.774254385398734</v>
      </c>
    </row>
    <row r="14" customFormat="false" ht="15" hidden="false" customHeight="false" outlineLevel="0" collapsed="false">
      <c r="A14" s="4" t="s">
        <v>46</v>
      </c>
      <c r="B14" s="11" t="n">
        <v>11492.5245</v>
      </c>
      <c r="C14" s="11" t="n">
        <v>7968.0805</v>
      </c>
      <c r="D14" s="11" t="n">
        <v>9280.6585</v>
      </c>
      <c r="E14" s="11" t="n">
        <v>9286.3535</v>
      </c>
      <c r="F14" s="11" t="n">
        <v>10366.1825</v>
      </c>
      <c r="G14" s="12" t="n">
        <f aca="false">C14/B14</f>
        <v>0.693327258079807</v>
      </c>
      <c r="H14" s="12" t="n">
        <f aca="false">D14/B14</f>
        <v>0.8075387178857</v>
      </c>
      <c r="I14" s="12" t="n">
        <f aca="false">E14/B14</f>
        <v>0.808034257399234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5" min="2" style="0" width="18"/>
  </cols>
  <sheetData>
    <row r="1" customFormat="false" ht="20.1" hidden="false" customHeight="false" outlineLevel="0" collapsed="false">
      <c r="A1" s="6" t="s">
        <v>60</v>
      </c>
    </row>
    <row r="2" customFormat="false" ht="15" hidden="false" customHeight="false" outlineLevel="0" collapsed="false">
      <c r="A2" s="2" t="s">
        <v>61</v>
      </c>
    </row>
    <row r="4" customFormat="false" ht="15" hidden="false" customHeight="false" outlineLevel="0" collapsed="false">
      <c r="A4" s="7" t="s">
        <v>32</v>
      </c>
      <c r="B4" s="7" t="s">
        <v>62</v>
      </c>
      <c r="C4" s="7" t="s">
        <v>63</v>
      </c>
      <c r="D4" s="7" t="s">
        <v>64</v>
      </c>
      <c r="E4" s="7" t="s">
        <v>65</v>
      </c>
    </row>
    <row r="5" customFormat="false" ht="15" hidden="false" customHeight="false" outlineLevel="0" collapsed="false">
      <c r="A5" s="4" t="s">
        <v>37</v>
      </c>
      <c r="B5" s="9" t="n">
        <v>5.555</v>
      </c>
      <c r="C5" s="9" t="n">
        <v>9.5425</v>
      </c>
      <c r="D5" s="9" t="n">
        <v>12.6975</v>
      </c>
      <c r="E5" s="9" t="n">
        <v>5.515</v>
      </c>
    </row>
    <row r="6" customFormat="false" ht="15" hidden="false" customHeight="false" outlineLevel="0" collapsed="false">
      <c r="A6" s="4" t="s">
        <v>38</v>
      </c>
      <c r="B6" s="9" t="n">
        <v>3.44375</v>
      </c>
      <c r="C6" s="9" t="n">
        <v>5.20875</v>
      </c>
      <c r="D6" s="9" t="n">
        <v>7.9825</v>
      </c>
      <c r="E6" s="9" t="n">
        <v>6.15375</v>
      </c>
    </row>
    <row r="7" customFormat="false" ht="15" hidden="false" customHeight="false" outlineLevel="0" collapsed="false">
      <c r="A7" s="4" t="s">
        <v>39</v>
      </c>
      <c r="B7" s="9" t="n">
        <v>6.05</v>
      </c>
      <c r="C7" s="9" t="n">
        <v>9.19625</v>
      </c>
      <c r="D7" s="9" t="n">
        <v>14.65875</v>
      </c>
      <c r="E7" s="9" t="n">
        <v>4.41625</v>
      </c>
    </row>
    <row r="8" customFormat="false" ht="15" hidden="false" customHeight="false" outlineLevel="0" collapsed="false">
      <c r="A8" s="4" t="s">
        <v>40</v>
      </c>
      <c r="B8" s="9" t="n">
        <v>4.4075</v>
      </c>
      <c r="C8" s="9" t="n">
        <v>6.069375</v>
      </c>
      <c r="D8" s="9" t="n">
        <v>8.743125</v>
      </c>
      <c r="E8" s="9" t="n">
        <v>4.556875</v>
      </c>
    </row>
    <row r="9" customFormat="false" ht="15" hidden="false" customHeight="false" outlineLevel="0" collapsed="false">
      <c r="A9" s="4" t="s">
        <v>41</v>
      </c>
      <c r="B9" s="9" t="n">
        <v>2.7275</v>
      </c>
      <c r="C9" s="9" t="n">
        <v>3.87</v>
      </c>
      <c r="D9" s="9" t="n">
        <v>7.98</v>
      </c>
      <c r="E9" s="9" t="n">
        <v>5.40375</v>
      </c>
    </row>
    <row r="10" customFormat="false" ht="15" hidden="false" customHeight="false" outlineLevel="0" collapsed="false">
      <c r="A10" s="4" t="s">
        <v>42</v>
      </c>
      <c r="B10" s="9" t="n">
        <v>3.94875</v>
      </c>
      <c r="C10" s="9" t="n">
        <v>8.9</v>
      </c>
      <c r="D10" s="9" t="n">
        <v>17.315</v>
      </c>
      <c r="E10" s="9" t="n">
        <v>10.28125</v>
      </c>
    </row>
    <row r="11" customFormat="false" ht="15" hidden="false" customHeight="false" outlineLevel="0" collapsed="false">
      <c r="A11" s="4" t="s">
        <v>43</v>
      </c>
      <c r="B11" s="9" t="n">
        <v>11.745</v>
      </c>
      <c r="C11" s="9" t="n">
        <v>19.7175</v>
      </c>
      <c r="D11" s="9" t="n">
        <v>27.6575</v>
      </c>
      <c r="E11" s="9" t="n">
        <v>19.83125</v>
      </c>
    </row>
    <row r="12" customFormat="false" ht="15" hidden="false" customHeight="false" outlineLevel="0" collapsed="false">
      <c r="A12" s="4" t="s">
        <v>44</v>
      </c>
      <c r="B12" s="9" t="n">
        <v>5.764375</v>
      </c>
      <c r="C12" s="9" t="n">
        <v>8.4275</v>
      </c>
      <c r="D12" s="9" t="n">
        <v>13.0475</v>
      </c>
      <c r="E12" s="9" t="n">
        <v>10.8475</v>
      </c>
    </row>
    <row r="13" customFormat="false" ht="15" hidden="false" customHeight="false" outlineLevel="0" collapsed="false">
      <c r="A13" s="4" t="s">
        <v>45</v>
      </c>
      <c r="B13" s="9" t="n">
        <v>6.73625</v>
      </c>
      <c r="C13" s="9" t="n">
        <v>8.865</v>
      </c>
      <c r="D13" s="9" t="n">
        <v>11.22875</v>
      </c>
      <c r="E13" s="9" t="n">
        <v>10.80875</v>
      </c>
    </row>
    <row r="14" customFormat="false" ht="15" hidden="false" customHeight="false" outlineLevel="0" collapsed="false">
      <c r="A14" s="4" t="s">
        <v>46</v>
      </c>
      <c r="B14" s="9" t="n">
        <v>6.5675</v>
      </c>
      <c r="C14" s="9" t="n">
        <v>9.66</v>
      </c>
      <c r="D14" s="9" t="n">
        <v>13.205</v>
      </c>
      <c r="E14" s="9" t="n">
        <v>9.15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4" min="2" style="0" width="18"/>
  </cols>
  <sheetData>
    <row r="1" customFormat="false" ht="20.1" hidden="false" customHeight="false" outlineLevel="0" collapsed="false">
      <c r="A1" s="6" t="s">
        <v>66</v>
      </c>
    </row>
    <row r="2" customFormat="false" ht="15" hidden="false" customHeight="false" outlineLevel="0" collapsed="false">
      <c r="A2" s="2" t="s">
        <v>67</v>
      </c>
    </row>
    <row r="4" customFormat="false" ht="29.85" hidden="false" customHeight="false" outlineLevel="0" collapsed="false">
      <c r="A4" s="7" t="s">
        <v>32</v>
      </c>
      <c r="B4" s="7" t="s">
        <v>68</v>
      </c>
      <c r="C4" s="7" t="s">
        <v>69</v>
      </c>
      <c r="D4" s="7" t="s">
        <v>70</v>
      </c>
    </row>
    <row r="5" customFormat="false" ht="15" hidden="false" customHeight="false" outlineLevel="0" collapsed="false">
      <c r="A5" s="4" t="s">
        <v>37</v>
      </c>
      <c r="B5" s="13" t="n">
        <v>87.2260273972603</v>
      </c>
      <c r="C5" s="13" t="n">
        <v>1.14155251141553</v>
      </c>
      <c r="D5" s="13" t="n">
        <v>2.62689212328767</v>
      </c>
    </row>
    <row r="6" customFormat="false" ht="15" hidden="false" customHeight="false" outlineLevel="0" collapsed="false">
      <c r="A6" s="4" t="s">
        <v>38</v>
      </c>
      <c r="B6" s="13" t="n">
        <v>88.2648401826484</v>
      </c>
      <c r="C6" s="13" t="n">
        <v>5.00570776255708</v>
      </c>
      <c r="D6" s="13" t="n">
        <v>2.31658561643836</v>
      </c>
    </row>
    <row r="7" customFormat="false" ht="15" hidden="false" customHeight="false" outlineLevel="0" collapsed="false">
      <c r="A7" s="4" t="s">
        <v>39</v>
      </c>
      <c r="B7" s="13" t="n">
        <v>92.3287671232877</v>
      </c>
      <c r="C7" s="13" t="n">
        <v>1.27853881278539</v>
      </c>
      <c r="D7" s="13" t="n">
        <v>4.63010628019324</v>
      </c>
    </row>
    <row r="8" customFormat="false" ht="15" hidden="false" customHeight="false" outlineLevel="0" collapsed="false">
      <c r="A8" s="4" t="s">
        <v>40</v>
      </c>
      <c r="B8" s="13" t="n">
        <v>90.0614754098361</v>
      </c>
      <c r="C8" s="13" t="n">
        <v>2.53870673952641</v>
      </c>
      <c r="D8" s="13" t="n">
        <v>1.68036145264117</v>
      </c>
    </row>
    <row r="9" customFormat="false" ht="15" hidden="false" customHeight="false" outlineLevel="0" collapsed="false">
      <c r="A9" s="4" t="s">
        <v>41</v>
      </c>
      <c r="B9" s="13" t="n">
        <v>61.8436073059361</v>
      </c>
      <c r="C9" s="13" t="n">
        <v>20.7191780821918</v>
      </c>
      <c r="D9" s="13" t="n">
        <v>0.399034246575343</v>
      </c>
    </row>
    <row r="10" customFormat="false" ht="15" hidden="false" customHeight="false" outlineLevel="0" collapsed="false">
      <c r="A10" s="4" t="s">
        <v>42</v>
      </c>
      <c r="B10" s="13" t="n">
        <v>37.134703196347</v>
      </c>
      <c r="C10" s="13" t="n">
        <v>35.2511415525114</v>
      </c>
      <c r="D10" s="13" t="n">
        <v>-0.113630136986301</v>
      </c>
    </row>
    <row r="11" customFormat="false" ht="15" hidden="false" customHeight="false" outlineLevel="0" collapsed="false">
      <c r="A11" s="4" t="s">
        <v>43</v>
      </c>
      <c r="B11" s="13" t="n">
        <v>65.3595890410959</v>
      </c>
      <c r="C11" s="13" t="n">
        <v>18.9497716894977</v>
      </c>
      <c r="D11" s="13" t="n">
        <v>0.0799526255707763</v>
      </c>
    </row>
    <row r="12" customFormat="false" ht="15" hidden="false" customHeight="false" outlineLevel="0" collapsed="false">
      <c r="A12" s="4" t="s">
        <v>44</v>
      </c>
      <c r="B12" s="13" t="n">
        <v>64.6174863387978</v>
      </c>
      <c r="C12" s="13" t="n">
        <v>20.457650273224</v>
      </c>
      <c r="D12" s="13" t="n">
        <v>0.111849954462659</v>
      </c>
    </row>
    <row r="13" customFormat="false" ht="15" hidden="false" customHeight="false" outlineLevel="0" collapsed="false">
      <c r="A13" s="4" t="s">
        <v>45</v>
      </c>
      <c r="B13" s="13" t="n">
        <v>59.2979452054795</v>
      </c>
      <c r="C13" s="13" t="n">
        <v>30.8961187214612</v>
      </c>
      <c r="D13" s="13" t="n">
        <v>-0.0505445205479452</v>
      </c>
    </row>
    <row r="14" customFormat="false" ht="15" hidden="false" customHeight="false" outlineLevel="0" collapsed="false">
      <c r="A14" s="4" t="s">
        <v>46</v>
      </c>
      <c r="B14" s="13" t="n">
        <v>60.7477168949772</v>
      </c>
      <c r="C14" s="13" t="n">
        <v>30.0970319634703</v>
      </c>
      <c r="D14" s="13" t="n">
        <v>0.31359303652968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4" min="2" style="0" width="18"/>
    <col collapsed="false" customWidth="true" hidden="false" outlineLevel="0" max="7" min="7" style="0" width="10"/>
    <col collapsed="false" customWidth="true" hidden="false" outlineLevel="0" max="9" min="8" style="0" width="18"/>
  </cols>
  <sheetData>
    <row r="1" customFormat="false" ht="20.1" hidden="false" customHeight="false" outlineLevel="0" collapsed="false">
      <c r="A1" s="6" t="s">
        <v>71</v>
      </c>
    </row>
    <row r="2" customFormat="false" ht="15" hidden="false" customHeight="false" outlineLevel="0" collapsed="false">
      <c r="A2" s="2" t="s">
        <v>72</v>
      </c>
    </row>
    <row r="4" customFormat="false" ht="15" hidden="false" customHeight="false" outlineLevel="0" collapsed="false">
      <c r="A4" s="7" t="s">
        <v>73</v>
      </c>
      <c r="B4" s="7" t="s">
        <v>74</v>
      </c>
      <c r="C4" s="7" t="s">
        <v>75</v>
      </c>
      <c r="D4" s="7" t="s">
        <v>76</v>
      </c>
      <c r="G4" s="7" t="s">
        <v>32</v>
      </c>
      <c r="H4" s="7" t="s">
        <v>77</v>
      </c>
      <c r="I4" s="7" t="s">
        <v>78</v>
      </c>
    </row>
    <row r="5" customFormat="false" ht="15" hidden="false" customHeight="false" outlineLevel="0" collapsed="false">
      <c r="A5" s="4" t="s">
        <v>79</v>
      </c>
      <c r="B5" s="13" t="n">
        <v>1.69778243845218</v>
      </c>
      <c r="C5" s="13" t="n">
        <v>1.93024200071871</v>
      </c>
      <c r="D5" s="13" t="n">
        <v>6.0160151888828</v>
      </c>
      <c r="G5" s="4" t="s">
        <v>37</v>
      </c>
      <c r="H5" s="4" t="n">
        <v>2.4</v>
      </c>
      <c r="I5" s="4" t="n">
        <v>4.2</v>
      </c>
    </row>
    <row r="6" customFormat="false" ht="15" hidden="false" customHeight="false" outlineLevel="0" collapsed="false">
      <c r="A6" s="4" t="s">
        <v>80</v>
      </c>
      <c r="B6" s="13" t="n">
        <v>7.94617472239942</v>
      </c>
      <c r="C6" s="13" t="n">
        <v>8.71472994121535</v>
      </c>
      <c r="D6" s="13" t="n">
        <v>65.4539109954469</v>
      </c>
      <c r="G6" s="4" t="s">
        <v>38</v>
      </c>
      <c r="H6" s="4" t="n">
        <v>2.9</v>
      </c>
      <c r="I6" s="4" t="n">
        <v>4.2</v>
      </c>
    </row>
    <row r="7" customFormat="false" ht="15" hidden="false" customHeight="false" outlineLevel="0" collapsed="false">
      <c r="A7" s="4" t="s">
        <v>81</v>
      </c>
      <c r="B7" s="13" t="n">
        <v>35.6902924430693</v>
      </c>
      <c r="C7" s="13" t="n">
        <v>43.7257875371089</v>
      </c>
      <c r="D7" s="13" t="n">
        <v>4.22583741737008</v>
      </c>
      <c r="G7" s="4" t="s">
        <v>39</v>
      </c>
      <c r="H7" s="4" t="n">
        <v>3.1</v>
      </c>
      <c r="I7" s="4" t="n">
        <v>5.1</v>
      </c>
    </row>
    <row r="8" customFormat="false" ht="15" hidden="false" customHeight="false" outlineLevel="0" collapsed="false">
      <c r="A8" s="4" t="s">
        <v>82</v>
      </c>
      <c r="B8" s="13" t="n">
        <v>38.6284099248665</v>
      </c>
      <c r="C8" s="13" t="n">
        <v>26.8978692736757</v>
      </c>
      <c r="D8" s="13" t="n">
        <v>4.63192637097507</v>
      </c>
      <c r="G8" s="4" t="s">
        <v>40</v>
      </c>
      <c r="H8" s="4" t="n">
        <v>3.7</v>
      </c>
      <c r="I8" s="4" t="n">
        <v>6.5</v>
      </c>
    </row>
    <row r="9" customFormat="false" ht="15" hidden="false" customHeight="false" outlineLevel="0" collapsed="false">
      <c r="G9" s="4" t="s">
        <v>41</v>
      </c>
      <c r="H9" s="4" t="n">
        <v>4.2</v>
      </c>
      <c r="I9" s="4" t="n">
        <v>8.2</v>
      </c>
    </row>
    <row r="10" customFormat="false" ht="15" hidden="false" customHeight="false" outlineLevel="0" collapsed="false">
      <c r="G10" s="4" t="s">
        <v>42</v>
      </c>
      <c r="H10" s="4" t="n">
        <v>4.4</v>
      </c>
      <c r="I10" s="4" t="n">
        <v>8.7</v>
      </c>
    </row>
    <row r="11" customFormat="false" ht="15" hidden="false" customHeight="false" outlineLevel="0" collapsed="false">
      <c r="G11" s="4" t="s">
        <v>43</v>
      </c>
      <c r="H11" s="4" t="n">
        <v>4.7</v>
      </c>
      <c r="I11" s="4" t="n">
        <v>9</v>
      </c>
    </row>
    <row r="12" customFormat="false" ht="15" hidden="false" customHeight="false" outlineLevel="0" collapsed="false">
      <c r="G12" s="4" t="s">
        <v>44</v>
      </c>
      <c r="H12" s="4" t="n">
        <v>8</v>
      </c>
      <c r="I12" s="4" t="n">
        <v>10.4</v>
      </c>
    </row>
    <row r="13" customFormat="false" ht="15" hidden="false" customHeight="false" outlineLevel="0" collapsed="false">
      <c r="G13" s="4" t="s">
        <v>45</v>
      </c>
      <c r="H13" s="4" t="n">
        <v>10.2</v>
      </c>
      <c r="I13" s="4" t="n">
        <v>10.7</v>
      </c>
    </row>
    <row r="14" customFormat="false" ht="15" hidden="false" customHeight="false" outlineLevel="0" collapsed="false">
      <c r="G14" s="4" t="s">
        <v>46</v>
      </c>
      <c r="H14" s="4" t="n">
        <v>10.3</v>
      </c>
      <c r="I14" s="4" t="n">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3" min="2" style="0" width="18"/>
  </cols>
  <sheetData>
    <row r="1" customFormat="false" ht="20.1" hidden="false" customHeight="false" outlineLevel="0" collapsed="false">
      <c r="A1" s="6" t="s">
        <v>83</v>
      </c>
    </row>
    <row r="2" customFormat="false" ht="15" hidden="false" customHeight="false" outlineLevel="0" collapsed="false">
      <c r="A2" s="2" t="s">
        <v>84</v>
      </c>
    </row>
    <row r="4" customFormat="false" ht="29.85" hidden="false" customHeight="false" outlineLevel="0" collapsed="false">
      <c r="A4" s="7" t="s">
        <v>85</v>
      </c>
      <c r="B4" s="7" t="s">
        <v>86</v>
      </c>
      <c r="C4" s="7" t="s">
        <v>87</v>
      </c>
    </row>
    <row r="5" customFormat="false" ht="15" hidden="false" customHeight="false" outlineLevel="0" collapsed="false">
      <c r="A5" s="4" t="n">
        <v>0.1</v>
      </c>
      <c r="B5" s="9" t="n">
        <v>-5.74</v>
      </c>
      <c r="C5" s="9" t="n">
        <v>-4.01</v>
      </c>
    </row>
    <row r="6" customFormat="false" ht="15" hidden="false" customHeight="false" outlineLevel="0" collapsed="false">
      <c r="A6" s="4" t="n">
        <v>0.2</v>
      </c>
      <c r="B6" s="9" t="n">
        <v>-5.85</v>
      </c>
      <c r="C6" s="9" t="n">
        <v>-4.6</v>
      </c>
    </row>
    <row r="7" customFormat="false" ht="15" hidden="false" customHeight="false" outlineLevel="0" collapsed="false">
      <c r="A7" s="4" t="n">
        <v>0.3</v>
      </c>
      <c r="B7" s="9" t="n">
        <v>-5.85</v>
      </c>
      <c r="C7" s="9" t="n">
        <v>-4.96</v>
      </c>
    </row>
    <row r="8" customFormat="false" ht="15" hidden="false" customHeight="false" outlineLevel="0" collapsed="false">
      <c r="A8" s="4" t="n">
        <v>0.4</v>
      </c>
      <c r="B8" s="9" t="n">
        <v>-4.65</v>
      </c>
      <c r="C8" s="9" t="n">
        <v>-5.08</v>
      </c>
    </row>
    <row r="9" customFormat="false" ht="15" hidden="false" customHeight="false" outlineLevel="0" collapsed="false">
      <c r="A9" s="4" t="n">
        <v>0.5</v>
      </c>
      <c r="B9" s="9" t="n">
        <v>-4.48</v>
      </c>
      <c r="C9" s="9" t="n">
        <v>-5.22</v>
      </c>
    </row>
    <row r="10" customFormat="false" ht="15" hidden="false" customHeight="false" outlineLevel="0" collapsed="false">
      <c r="A10" s="4" t="n">
        <v>0.6</v>
      </c>
      <c r="B10" s="9" t="n">
        <v>-4.39</v>
      </c>
      <c r="C10" s="9" t="n">
        <v>-5.49</v>
      </c>
    </row>
    <row r="11" customFormat="false" ht="15" hidden="false" customHeight="false" outlineLevel="0" collapsed="false">
      <c r="A11" s="4" t="n">
        <v>0.7</v>
      </c>
      <c r="B11" s="9" t="n">
        <v>-5.54</v>
      </c>
      <c r="C11" s="9" t="n">
        <v>-5.93</v>
      </c>
    </row>
    <row r="12" customFormat="false" ht="15" hidden="false" customHeight="false" outlineLevel="0" collapsed="false">
      <c r="A12" s="4" t="n">
        <v>0.8</v>
      </c>
      <c r="B12" s="9" t="n">
        <v>-7.82</v>
      </c>
      <c r="C12" s="9" t="n">
        <v>-6.58</v>
      </c>
    </row>
    <row r="13" customFormat="false" ht="15" hidden="false" customHeight="false" outlineLevel="0" collapsed="false">
      <c r="A13" s="4" t="n">
        <v>0.9</v>
      </c>
      <c r="B13" s="9" t="n">
        <v>-11.22</v>
      </c>
      <c r="C13" s="9" t="n">
        <v>-7.07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3" min="2" style="0" width="10"/>
    <col collapsed="false" customWidth="true" hidden="false" outlineLevel="0" max="4" min="4" style="0" width="12"/>
    <col collapsed="false" customWidth="true" hidden="false" outlineLevel="0" max="8" min="5" style="0" width="18"/>
    <col collapsed="false" customWidth="true" hidden="false" outlineLevel="0" max="9" min="9" style="0" width="12"/>
    <col collapsed="false" customWidth="true" hidden="false" outlineLevel="0" max="10" min="10" style="0" width="10"/>
    <col collapsed="false" customWidth="true" hidden="false" outlineLevel="0" max="11" min="11" style="0" width="14"/>
    <col collapsed="false" customWidth="true" hidden="false" outlineLevel="0" max="12" min="12" style="0" width="18"/>
    <col collapsed="false" customWidth="true" hidden="false" outlineLevel="0" max="15" min="13" style="0" width="12"/>
  </cols>
  <sheetData>
    <row r="1" customFormat="false" ht="20.1" hidden="false" customHeight="false" outlineLevel="0" collapsed="false">
      <c r="A1" s="6" t="s">
        <v>88</v>
      </c>
    </row>
    <row r="2" customFormat="false" ht="15" hidden="false" customHeight="false" outlineLevel="0" collapsed="false">
      <c r="A2" s="2" t="s">
        <v>89</v>
      </c>
    </row>
    <row r="4" customFormat="false" ht="15" hidden="false" customHeight="false" outlineLevel="0" collapsed="false">
      <c r="A4" s="7" t="s">
        <v>32</v>
      </c>
      <c r="B4" s="7" t="s">
        <v>90</v>
      </c>
      <c r="C4" s="7" t="s">
        <v>91</v>
      </c>
      <c r="D4" s="7" t="s">
        <v>92</v>
      </c>
      <c r="E4" s="7" t="s">
        <v>93</v>
      </c>
      <c r="F4" s="7" t="s">
        <v>94</v>
      </c>
      <c r="G4" s="7" t="s">
        <v>95</v>
      </c>
      <c r="H4" s="7" t="s">
        <v>96</v>
      </c>
      <c r="I4" s="7" t="s">
        <v>97</v>
      </c>
      <c r="J4" s="7" t="s">
        <v>98</v>
      </c>
      <c r="K4" s="7" t="s">
        <v>99</v>
      </c>
      <c r="L4" s="7" t="s">
        <v>100</v>
      </c>
      <c r="M4" s="7" t="s">
        <v>101</v>
      </c>
      <c r="N4" s="7" t="s">
        <v>102</v>
      </c>
      <c r="O4" s="7" t="s">
        <v>103</v>
      </c>
    </row>
    <row r="5" customFormat="false" ht="15" hidden="false" customHeight="false" outlineLevel="0" collapsed="false">
      <c r="A5" s="4" t="s">
        <v>37</v>
      </c>
      <c r="B5" s="9" t="n">
        <v>0</v>
      </c>
      <c r="C5" s="9" t="n">
        <v>2.51206575342466</v>
      </c>
      <c r="D5" s="9" t="n">
        <v>0.516141095890411</v>
      </c>
      <c r="E5" s="9" t="n">
        <v>0.01495</v>
      </c>
      <c r="F5" s="9" t="n">
        <v>0.478628767123288</v>
      </c>
      <c r="G5" s="9" t="n">
        <v>0.0881691780821918</v>
      </c>
      <c r="H5" s="9" t="n">
        <v>0.0225369863013699</v>
      </c>
      <c r="I5" s="9" t="n">
        <v>0.0846013698630137</v>
      </c>
      <c r="J5" s="9" t="n">
        <v>3.71709315068493</v>
      </c>
      <c r="K5" s="9" t="n">
        <v>3.64109178082192</v>
      </c>
      <c r="L5" s="9" t="n">
        <v>0.0551869863013699</v>
      </c>
      <c r="M5" s="9" t="n">
        <v>0.0208438356164384</v>
      </c>
      <c r="N5" s="9" t="n">
        <v>0</v>
      </c>
      <c r="O5" s="9" t="n">
        <v>3.71712260273973</v>
      </c>
    </row>
    <row r="6" customFormat="false" ht="15" hidden="false" customHeight="false" outlineLevel="0" collapsed="false">
      <c r="A6" s="4" t="s">
        <v>38</v>
      </c>
      <c r="B6" s="9" t="n">
        <v>0</v>
      </c>
      <c r="C6" s="9" t="n">
        <v>2.49263904109589</v>
      </c>
      <c r="D6" s="9" t="n">
        <v>0.42446301369863</v>
      </c>
      <c r="E6" s="9" t="n">
        <v>0.0180034246575343</v>
      </c>
      <c r="F6" s="9" t="n">
        <v>0.483658219178082</v>
      </c>
      <c r="G6" s="9" t="n">
        <v>0.109103424657534</v>
      </c>
      <c r="H6" s="9" t="n">
        <v>0.0127958904109589</v>
      </c>
      <c r="I6" s="9" t="n">
        <v>0.106615753424658</v>
      </c>
      <c r="J6" s="9" t="n">
        <v>3.64727876712329</v>
      </c>
      <c r="K6" s="9" t="n">
        <v>3.5600095890411</v>
      </c>
      <c r="L6" s="9" t="n">
        <v>0.0667102739726027</v>
      </c>
      <c r="M6" s="9" t="n">
        <v>0.020472602739726</v>
      </c>
      <c r="N6" s="9" t="n">
        <v>0</v>
      </c>
      <c r="O6" s="9" t="n">
        <v>3.64719246575343</v>
      </c>
    </row>
    <row r="7" customFormat="false" ht="15" hidden="false" customHeight="false" outlineLevel="0" collapsed="false">
      <c r="A7" s="4" t="s">
        <v>39</v>
      </c>
      <c r="B7" s="9" t="n">
        <v>0</v>
      </c>
      <c r="C7" s="9" t="n">
        <v>2.29294246575343</v>
      </c>
      <c r="D7" s="9" t="n">
        <v>0.500358904109589</v>
      </c>
      <c r="E7" s="9" t="n">
        <v>0.0229527397260274</v>
      </c>
      <c r="F7" s="9" t="n">
        <v>0.582686301369863</v>
      </c>
      <c r="G7" s="9" t="n">
        <v>0.111847945205479</v>
      </c>
      <c r="H7" s="9" t="n">
        <v>0.0198760273972603</v>
      </c>
      <c r="I7" s="9" t="n">
        <v>0.102565753424658</v>
      </c>
      <c r="J7" s="9" t="n">
        <v>3.6332301369863</v>
      </c>
      <c r="K7" s="9" t="n">
        <v>3.50113150684932</v>
      </c>
      <c r="L7" s="9" t="n">
        <v>0.114633561643836</v>
      </c>
      <c r="M7" s="9" t="n">
        <v>0.0173520547945206</v>
      </c>
      <c r="N7" s="9" t="n">
        <v>0</v>
      </c>
      <c r="O7" s="9" t="n">
        <v>3.63311712328767</v>
      </c>
    </row>
    <row r="8" customFormat="false" ht="15" hidden="false" customHeight="false" outlineLevel="0" collapsed="false">
      <c r="A8" s="4" t="s">
        <v>40</v>
      </c>
      <c r="B8" s="9" t="n">
        <v>0</v>
      </c>
      <c r="C8" s="9" t="n">
        <v>2.22001571038251</v>
      </c>
      <c r="D8" s="9" t="n">
        <v>0.302849726775956</v>
      </c>
      <c r="E8" s="9" t="n">
        <v>0.0310765027322404</v>
      </c>
      <c r="F8" s="9" t="n">
        <v>0.727810109289617</v>
      </c>
      <c r="G8" s="9" t="n">
        <v>0.136719262295082</v>
      </c>
      <c r="H8" s="9" t="n">
        <v>0.0155334699453552</v>
      </c>
      <c r="I8" s="9" t="n">
        <v>0.200184426229508</v>
      </c>
      <c r="J8" s="9" t="n">
        <v>3.63418920765027</v>
      </c>
      <c r="K8" s="9" t="n">
        <v>3.48407718579235</v>
      </c>
      <c r="L8" s="9" t="n">
        <v>0.102045081967213</v>
      </c>
      <c r="M8" s="9" t="n">
        <v>0.0481079234972678</v>
      </c>
      <c r="N8" s="9" t="n">
        <v>0</v>
      </c>
      <c r="O8" s="9" t="n">
        <v>3.63423019125683</v>
      </c>
    </row>
    <row r="9" customFormat="false" ht="15" hidden="false" customHeight="false" outlineLevel="0" collapsed="false">
      <c r="A9" s="4" t="s">
        <v>41</v>
      </c>
      <c r="B9" s="9" t="n">
        <v>0</v>
      </c>
      <c r="C9" s="9" t="n">
        <v>2.31254794520548</v>
      </c>
      <c r="D9" s="9" t="n">
        <v>0.292101369863014</v>
      </c>
      <c r="E9" s="9" t="n">
        <v>0.036341095890411</v>
      </c>
      <c r="F9" s="9" t="n">
        <v>0.921028767123288</v>
      </c>
      <c r="G9" s="9" t="n">
        <v>0.153744520547945</v>
      </c>
      <c r="H9" s="9" t="n">
        <v>0.017008904109589</v>
      </c>
      <c r="I9" s="9" t="n">
        <v>0.0751212328767123</v>
      </c>
      <c r="J9" s="9" t="n">
        <v>3.80789383561644</v>
      </c>
      <c r="K9" s="9" t="n">
        <v>3.57455890410959</v>
      </c>
      <c r="L9" s="9" t="n">
        <v>0.0943993150684932</v>
      </c>
      <c r="M9" s="9" t="n">
        <v>0.13887602739726</v>
      </c>
      <c r="N9" s="9" t="n">
        <v>0</v>
      </c>
      <c r="O9" s="9" t="n">
        <v>3.80783424657534</v>
      </c>
    </row>
    <row r="10" customFormat="false" ht="15" hidden="false" customHeight="false" outlineLevel="0" collapsed="false">
      <c r="A10" s="4" t="s">
        <v>42</v>
      </c>
      <c r="B10" s="9" t="n">
        <v>0</v>
      </c>
      <c r="C10" s="9" t="n">
        <v>2.26853424657534</v>
      </c>
      <c r="D10" s="9" t="n">
        <v>0.434238356164384</v>
      </c>
      <c r="E10" s="9" t="n">
        <v>0.106295205479452</v>
      </c>
      <c r="F10" s="9" t="n">
        <v>0.961549315068493</v>
      </c>
      <c r="G10" s="9" t="n">
        <v>0.158178082191781</v>
      </c>
      <c r="H10" s="9" t="n">
        <v>0.0128746575342466</v>
      </c>
      <c r="I10" s="9" t="n">
        <v>0.0184109589041096</v>
      </c>
      <c r="J10" s="9" t="n">
        <v>3.96008082191781</v>
      </c>
      <c r="K10" s="9" t="n">
        <v>3.57821712328767</v>
      </c>
      <c r="L10" s="9" t="n">
        <v>0.0870821917808219</v>
      </c>
      <c r="M10" s="9" t="n">
        <v>0.294651369863014</v>
      </c>
      <c r="N10" s="9" t="n">
        <v>0</v>
      </c>
      <c r="O10" s="9" t="n">
        <v>3.95995068493151</v>
      </c>
    </row>
    <row r="11" customFormat="false" ht="15" hidden="false" customHeight="false" outlineLevel="0" collapsed="false">
      <c r="A11" s="4" t="s">
        <v>43</v>
      </c>
      <c r="B11" s="9" t="n">
        <v>0</v>
      </c>
      <c r="C11" s="9" t="n">
        <v>1.83060547945206</v>
      </c>
      <c r="D11" s="9" t="n">
        <v>0.480412328767123</v>
      </c>
      <c r="E11" s="9" t="n">
        <v>0.17708904109589</v>
      </c>
      <c r="F11" s="9" t="n">
        <v>0.975019863013699</v>
      </c>
      <c r="G11" s="9" t="n">
        <v>0.166852054794521</v>
      </c>
      <c r="H11" s="9" t="n">
        <v>0.0128424657534247</v>
      </c>
      <c r="I11" s="9" t="n">
        <v>0.121043835616438</v>
      </c>
      <c r="J11" s="9" t="n">
        <v>3.76386506849315</v>
      </c>
      <c r="K11" s="9" t="n">
        <v>3.50023082191781</v>
      </c>
      <c r="L11" s="9" t="n">
        <v>0.145368493150685</v>
      </c>
      <c r="M11" s="9" t="n">
        <v>0.117195890410959</v>
      </c>
      <c r="N11" s="9" t="n">
        <v>0.000938356164383562</v>
      </c>
      <c r="O11" s="9" t="n">
        <v>3.76373356164384</v>
      </c>
    </row>
    <row r="12" customFormat="false" ht="15" hidden="false" customHeight="false" outlineLevel="0" collapsed="false">
      <c r="A12" s="4" t="s">
        <v>44</v>
      </c>
      <c r="B12" s="9" t="n">
        <v>0</v>
      </c>
      <c r="C12" s="9" t="n">
        <v>1.79997745901639</v>
      </c>
      <c r="D12" s="9" t="n">
        <v>0.434250683060109</v>
      </c>
      <c r="E12" s="9" t="n">
        <v>0.239389344262295</v>
      </c>
      <c r="F12" s="9" t="n">
        <v>1.12272472677596</v>
      </c>
      <c r="G12" s="9" t="n">
        <v>0.27495218579235</v>
      </c>
      <c r="H12" s="9" t="n">
        <v>0.00821926229508197</v>
      </c>
      <c r="I12" s="9" t="n">
        <v>0.059198087431694</v>
      </c>
      <c r="J12" s="9" t="n">
        <v>3.93871174863388</v>
      </c>
      <c r="K12" s="9" t="n">
        <v>3.61363183060109</v>
      </c>
      <c r="L12" s="9" t="n">
        <v>0.13078893442623</v>
      </c>
      <c r="M12" s="9" t="n">
        <v>0.193671448087432</v>
      </c>
      <c r="N12" s="9" t="n">
        <v>0.000469945355191257</v>
      </c>
      <c r="O12" s="9" t="n">
        <v>3.93856215846995</v>
      </c>
    </row>
    <row r="13" customFormat="false" ht="15" hidden="false" customHeight="false" outlineLevel="0" collapsed="false">
      <c r="A13" s="4" t="s">
        <v>45</v>
      </c>
      <c r="B13" s="9" t="n">
        <v>0</v>
      </c>
      <c r="C13" s="9" t="n">
        <v>1.78701952054795</v>
      </c>
      <c r="D13" s="9" t="n">
        <v>0.346628424657534</v>
      </c>
      <c r="E13" s="9" t="n">
        <v>0.219296232876712</v>
      </c>
      <c r="F13" s="9" t="n">
        <v>1.14302397260274</v>
      </c>
      <c r="G13" s="9" t="n">
        <v>0.337392465753425</v>
      </c>
      <c r="H13" s="9" t="n">
        <v>0.00833390410958904</v>
      </c>
      <c r="I13" s="9" t="n">
        <v>0.0742325342465754</v>
      </c>
      <c r="J13" s="9" t="n">
        <v>3.91592705479452</v>
      </c>
      <c r="K13" s="9" t="n">
        <v>3.53621917808219</v>
      </c>
      <c r="L13" s="9" t="n">
        <v>0.207509589041096</v>
      </c>
      <c r="M13" s="9" t="n">
        <v>0.171028082191781</v>
      </c>
      <c r="N13" s="9" t="n">
        <v>0.00117020547945206</v>
      </c>
      <c r="O13" s="9" t="n">
        <v>3.91592705479452</v>
      </c>
    </row>
    <row r="14" customFormat="false" ht="15" hidden="false" customHeight="false" outlineLevel="0" collapsed="false">
      <c r="A14" s="4" t="s">
        <v>46</v>
      </c>
      <c r="B14" s="9" t="n">
        <v>0</v>
      </c>
      <c r="C14" s="9" t="n">
        <v>1.6926852739726</v>
      </c>
      <c r="D14" s="9" t="n">
        <v>0.430968493150685</v>
      </c>
      <c r="E14" s="9" t="n">
        <v>0.256252397260274</v>
      </c>
      <c r="F14" s="9" t="n">
        <v>1.18425239726027</v>
      </c>
      <c r="G14" s="9" t="n">
        <v>0.345751712328767</v>
      </c>
      <c r="H14" s="9" t="n">
        <v>0.0100188356164384</v>
      </c>
      <c r="I14" s="9" t="n">
        <v>0.0576804794520548</v>
      </c>
      <c r="J14" s="9" t="n">
        <v>3.9776095890411</v>
      </c>
      <c r="K14" s="9" t="n">
        <v>3.65597876712329</v>
      </c>
      <c r="L14" s="9" t="n">
        <v>0.16027294520548</v>
      </c>
      <c r="M14" s="9" t="n">
        <v>0.154925</v>
      </c>
      <c r="N14" s="9" t="n">
        <v>0.00643287671232877</v>
      </c>
      <c r="O14" s="9" t="n">
        <v>3.9776095890411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2026-07-28T00:54:24Z</dcterms:created>
  <dc:creator>openpyxl</dc:creator>
  <dc:description/>
  <dc:language>en-US</dc:language>
  <cp:lastModifiedBy/>
  <dcterms:modified xsi:type="dcterms:W3CDTF">2026-07-28T00:55:58Z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