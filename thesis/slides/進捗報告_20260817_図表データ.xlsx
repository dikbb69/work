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目次" sheetId="1" state="visible" r:id="rId1"/>
    <sheet xmlns:r="http://schemas.openxmlformats.org/officeDocument/2006/relationships" name="分断方向転換" sheetId="2" state="visible" r:id="rId2"/>
    <sheet xmlns:r="http://schemas.openxmlformats.org/officeDocument/2006/relationships" name="capture率" sheetId="3" state="visible" r:id="rId3"/>
    <sheet xmlns:r="http://schemas.openxmlformats.org/officeDocument/2006/relationships" name="帯域分解" sheetId="4" state="visible" r:id="rId4"/>
    <sheet xmlns:r="http://schemas.openxmlformats.org/officeDocument/2006/relationships" name="泊DC_2x2" sheetId="5" state="visible" r:id="rId5"/>
    <sheet xmlns:r="http://schemas.openxmlformats.org/officeDocument/2006/relationships" name="文献構成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76871"/>
      <sz val="14"/>
    </font>
    <font>
      <b val="1"/>
      <color rgb="00FFFFFF"/>
    </font>
    <font>
      <color rgb="00595959"/>
      <sz val="9"/>
    </font>
    <font>
      <b val="1"/>
      <color rgb="00176871"/>
      <sz val="13"/>
    </font>
  </fonts>
  <fills count="3">
    <fill>
      <patternFill/>
    </fill>
    <fill>
      <patternFill patternType="gray125"/>
    </fill>
    <fill>
      <patternFill patternType="solid">
        <fgColor rgb="000079C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市場分断の方向転換（コマ構成比%）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'分断方向転換'!B3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'分断方向転換'!$A$4:$A$6</f>
            </numRef>
          </cat>
          <val>
            <numRef>
              <f>'分断方向転換'!$B$4:$B$6</f>
            </numRef>
          </val>
        </ser>
        <ser>
          <idx val="1"/>
          <order val="1"/>
          <tx>
            <strRef>
              <f>'分断方向転換'!C3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'分断方向転換'!$A$4:$A$6</f>
            </numRef>
          </cat>
          <val>
            <numRef>
              <f>'分断方向転換'!$C$4:$C$6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capture率（完全予見PF=100%）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'capture率'!B3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'capture率'!$A$4:$A$7</f>
            </numRef>
          </cat>
          <val>
            <numRef>
              <f>'capture率'!$B$4:$B$7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風力変動の帯域分解（分散シェア%）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'帯域分解'!B3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'帯域分解'!$A$4:$A$6</f>
            </numRef>
          </cat>
          <val>
            <numRef>
              <f>'帯域分解'!$B$4:$B$6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PF価値の変化（ベース比、円/kW-年）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'泊DC_2x2'!D3</f>
            </strRef>
          </tx>
          <spPr>
            <a:ln xmlns:a="http://schemas.openxmlformats.org/drawingml/2006/main">
              <a:prstDash val="solid"/>
            </a:ln>
          </spPr>
          <cat>
            <numRef>
              <f>'泊DC_2x2'!$A$4:$A$7</f>
            </numRef>
          </cat>
          <val>
            <numRef>
              <f>'泊DC_2x2'!$D$4:$D$7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円/kW-年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コア文献のセット構成（本）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'文献構成'!B3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'文献構成'!$A$4:$A$7</f>
            </numRef>
          </cat>
          <val>
            <numRef>
              <f>'文献構成'!$B$4:$B$7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本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4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3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4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8" customWidth="1" min="1" max="1"/>
    <col width="64" customWidth="1" min="2" max="2"/>
  </cols>
  <sheetData>
    <row r="1">
      <c r="A1" s="1" t="inlineStr">
        <is>
          <t>進捗報告（2026-08-17）図表データ</t>
        </is>
      </c>
    </row>
    <row r="3">
      <c r="A3" s="2" t="inlineStr">
        <is>
          <t>シート</t>
        </is>
      </c>
      <c r="B3" s="2" t="inlineStr">
        <is>
          <t>内容</t>
        </is>
      </c>
    </row>
    <row r="4">
      <c r="A4" t="inlineStr">
        <is>
          <t>分断方向転換</t>
        </is>
      </c>
      <c r="B4" t="inlineStr">
        <is>
          <t>スライド4: 市場分断の方向転換（コマ構成比）</t>
        </is>
      </c>
    </row>
    <row r="5">
      <c r="A5" t="inlineStr">
        <is>
          <t>capture率</t>
        </is>
      </c>
      <c r="B5" t="inlineStr">
        <is>
          <t>スライド5: 実行可能戦略のcapture率（完全予見比）</t>
        </is>
      </c>
    </row>
    <row r="6">
      <c r="A6" t="inlineStr">
        <is>
          <t>帯域分解</t>
        </is>
      </c>
      <c r="B6" t="inlineStr">
        <is>
          <t>スライド6: 風力変動の帯域分解（分散シェア）</t>
        </is>
      </c>
    </row>
    <row r="7">
      <c r="A7" t="inlineStr">
        <is>
          <t>泊DC_2x2</t>
        </is>
      </c>
      <c r="B7" t="inlineStr">
        <is>
          <t>スライド15: 泊3号×DC需要の2×2分解（価格過程v1）</t>
        </is>
      </c>
    </row>
    <row r="8">
      <c r="A8" t="inlineStr">
        <is>
          <t>文献構成</t>
        </is>
      </c>
      <c r="B8" t="inlineStr">
        <is>
          <t>スライド7: コア文献41本のセット構成</t>
        </is>
      </c>
    </row>
    <row r="10">
      <c r="A10" s="3" t="inlineStr">
        <is>
          <t>数値の出所: 北海道時間パネル（11_build_area_panels）・北海道簡易分析（10_hokkaido_quick_xlsx）・価格過程v1（13_price_process_v1）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4" t="inlineStr">
        <is>
          <t>市場分断の方向転換（北海道エリアプライス vs システムプライス、コマ構成比%）</t>
        </is>
      </c>
    </row>
    <row r="3">
      <c r="A3" s="2" t="inlineStr">
        <is>
          <t>区分</t>
        </is>
      </c>
      <c r="B3" s="2" t="inlineStr">
        <is>
          <t>FY2016-19</t>
        </is>
      </c>
      <c r="C3" s="2" t="inlineStr">
        <is>
          <t>FY2023-25</t>
        </is>
      </c>
    </row>
    <row r="4">
      <c r="A4" t="inlineStr">
        <is>
          <t>高値分断（道内＞本州）</t>
        </is>
      </c>
      <c r="B4" t="n">
        <v>89.5</v>
      </c>
      <c r="C4" t="n">
        <v>60</v>
      </c>
    </row>
    <row r="5">
      <c r="A5" t="inlineStr">
        <is>
          <t>連系（±0.01円以内）</t>
        </is>
      </c>
      <c r="B5" t="n">
        <v>7.5</v>
      </c>
      <c r="C5" t="n">
        <v>11</v>
      </c>
    </row>
    <row r="6">
      <c r="A6" t="inlineStr">
        <is>
          <t>安値分断（道内＜本州）</t>
        </is>
      </c>
      <c r="B6" t="n">
        <v>3</v>
      </c>
      <c r="C6" t="n">
        <v>29</v>
      </c>
    </row>
    <row r="8">
      <c r="A8" s="3" t="inlineStr">
        <is>
          <t>注: 高値87-92%等の年度レンジの代表値。判定はシステムプライス±0.01円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3" max="3"/>
  </cols>
  <sheetData>
    <row r="1">
      <c r="A1" s="4" t="inlineStr">
        <is>
          <t>実行可能戦略のcapture率（完全予見PF=100%、60分粒度）</t>
        </is>
      </c>
    </row>
    <row r="3">
      <c r="A3" s="2" t="inlineStr">
        <is>
          <t>戦略</t>
        </is>
      </c>
      <c r="B3" s="2" t="inlineStr">
        <is>
          <t>capture率(%)</t>
        </is>
      </c>
      <c r="C3" s="2" t="inlineStr">
        <is>
          <t>レンジ</t>
        </is>
      </c>
    </row>
    <row r="4">
      <c r="A4" t="inlineStr">
        <is>
          <t>完全予見PF</t>
        </is>
      </c>
      <c r="B4" t="n">
        <v>100</v>
      </c>
      <c r="C4" t="inlineStr">
        <is>
          <t>—</t>
        </is>
      </c>
    </row>
    <row r="5">
      <c r="A5" t="inlineStr">
        <is>
          <t>九州 戦略a（価格ランク）</t>
        </is>
      </c>
      <c r="B5" t="n">
        <v>78.5</v>
      </c>
      <c r="C5" t="inlineStr">
        <is>
          <t>77-80%</t>
        </is>
      </c>
    </row>
    <row r="6">
      <c r="A6" t="inlineStr">
        <is>
          <t>北海道 戦略a（価格ランク）</t>
        </is>
      </c>
      <c r="B6" t="n">
        <v>67.5</v>
      </c>
      <c r="C6" t="inlineStr">
        <is>
          <t>66-69%</t>
        </is>
      </c>
    </row>
    <row r="7">
      <c r="A7" t="inlineStr">
        <is>
          <t>北海道 戦略b（残余需要予測）</t>
        </is>
      </c>
      <c r="B7" t="n">
        <v>79</v>
      </c>
      <c r="C7" t="inlineStr">
        <is>
          <t>77-81%</t>
        </is>
      </c>
    </row>
    <row r="9">
      <c r="A9" s="3" t="inlineStr">
        <is>
          <t>注: 棒は各年度レンジの中央値。戦略b′（風力持続性の追加）は改善なし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4" t="inlineStr">
        <is>
          <t>風力変動の帯域分解（フリート集約・制御前出力の分散シェア%、FY2024-25）</t>
        </is>
      </c>
    </row>
    <row r="3">
      <c r="A3" s="2" t="inlineStr">
        <is>
          <t>帯域</t>
        </is>
      </c>
      <c r="B3" s="2" t="inlineStr">
        <is>
          <t>分散シェア(%)</t>
        </is>
      </c>
    </row>
    <row r="4">
      <c r="A4" t="inlineStr">
        <is>
          <t>日内（&lt;24h）</t>
        </is>
      </c>
      <c r="B4" t="n">
        <v>25.7</v>
      </c>
    </row>
    <row r="5">
      <c r="A5" t="inlineStr">
        <is>
          <t>1〜7日</t>
        </is>
      </c>
      <c r="B5" t="n">
        <v>35.7</v>
      </c>
    </row>
    <row r="6">
      <c r="A6" t="inlineStr">
        <is>
          <t>7日超</t>
        </is>
      </c>
      <c r="B6" t="n">
        <v>38.6</v>
      </c>
    </row>
    <row r="8">
      <c r="A8" s="3" t="inlineStr">
        <is>
          <t>注: バンドパス分散分解。太陽光は6-24h帯が中心（対照）。4h蓄電池が主に吸収できるのは日内帯のみ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泊3号×DC需要の2×2分解（価格過程v1・FY2023-25実パス・仕様B・共通乱数）</t>
        </is>
      </c>
    </row>
    <row r="3">
      <c r="A3" s="2" t="inlineStr">
        <is>
          <t>シナリオ</t>
        </is>
      </c>
      <c r="B3" s="2" t="inlineStr">
        <is>
          <t>床時間(h/年)</t>
        </is>
      </c>
      <c r="C3" s="2" t="inlineStr">
        <is>
          <t>PF価値(円/kW-年)</t>
        </is>
      </c>
      <c r="D3" s="2" t="inlineStr">
        <is>
          <t>ΔPF(円/kW-年)</t>
        </is>
      </c>
    </row>
    <row r="4">
      <c r="A4" t="inlineStr">
        <is>
          <t>ベース（泊なし・DCなし）</t>
        </is>
      </c>
      <c r="B4" t="n">
        <v>117</v>
      </c>
      <c r="C4" t="n">
        <v>8593</v>
      </c>
      <c r="D4" t="n">
        <v>0</v>
      </c>
    </row>
    <row r="5">
      <c r="A5" t="inlineStr">
        <is>
          <t>泊3号再稼働のみ（91.2万kW×90%）</t>
        </is>
      </c>
      <c r="B5" t="n">
        <v>704</v>
      </c>
      <c r="C5" t="n">
        <v>9777</v>
      </c>
      <c r="D5" t="n">
        <v>1184</v>
      </c>
    </row>
    <row r="6">
      <c r="A6" t="inlineStr">
        <is>
          <t>DC需要+80万kW（フラット）のみ</t>
        </is>
      </c>
      <c r="B6" t="n">
        <v>29</v>
      </c>
      <c r="C6" t="n">
        <v>7796</v>
      </c>
      <c r="D6" t="n">
        <v>-797</v>
      </c>
    </row>
    <row r="7">
      <c r="A7" t="inlineStr">
        <is>
          <t>泊＋DC（両方）</t>
        </is>
      </c>
      <c r="B7" t="n">
        <v>121</v>
      </c>
      <c r="C7" t="n">
        <v>8582</v>
      </c>
      <c r="D7" t="n">
        <v>-11</v>
      </c>
    </row>
    <row r="9">
      <c r="A9" s="3" t="inlineStr">
        <is>
          <t>注: 部分均衡（蓄電池フリート応答・p_system変化は未反映）。床時間は60分粒度のモデル値（実績の床コマ473/年とは定義が異なる）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3" max="3"/>
  </cols>
  <sheetData>
    <row r="1">
      <c r="A1" s="4" t="inlineStr">
        <is>
          <t>コア文献41本のセット構成（DOI検証・PDF収集・抽出表・数値チェック済み）</t>
        </is>
      </c>
    </row>
    <row r="3">
      <c r="A3" s="2" t="inlineStr">
        <is>
          <t>セット</t>
        </is>
      </c>
      <c r="B3" s="2" t="inlineStr">
        <is>
          <t>本数</t>
        </is>
      </c>
      <c r="C3" s="2" t="inlineStr">
        <is>
          <t>内容</t>
        </is>
      </c>
    </row>
    <row r="4">
      <c r="A4" t="inlineStr">
        <is>
          <t>A 再エネ→価格・ボラ実証</t>
        </is>
      </c>
      <c r="B4" t="n">
        <v>11</v>
      </c>
      <c r="C4" t="inlineStr">
        <is>
          <t>Woo 2011・Ketterer 2014・Wozabal 2016 ほか</t>
        </is>
      </c>
    </row>
    <row r="5">
      <c r="A5" t="inlineStr">
        <is>
          <t>B 蓄電池の経済学・均衡</t>
        </is>
      </c>
      <c r="B5" t="n">
        <v>13</v>
      </c>
      <c r="C5" t="inlineStr">
        <is>
          <t>Butters 2025・Karaduman・Schmalensee ほか</t>
        </is>
      </c>
    </row>
    <row r="6">
      <c r="A6" t="inlineStr">
        <is>
          <t>C 日本・JEPX</t>
        </is>
      </c>
      <c r="B6" t="n">
        <v>9</v>
      </c>
      <c r="C6" t="inlineStr">
        <is>
          <t>Fuke &amp; Ohashi 2025・Sakaguchi &amp; Fujii 2021 ほか</t>
        </is>
      </c>
    </row>
    <row r="7">
      <c r="A7" t="inlineStr">
        <is>
          <t>D 手法・投資評価</t>
        </is>
      </c>
      <c r="B7" t="n">
        <v>8</v>
      </c>
      <c r="C7" t="inlineStr">
        <is>
          <t>Corsi 2009・Fanone 2013・Leahy/Grenadier ほか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2026-08-17T03:15:40Z</dcterms:created>
  <dcterms:modified xmlns:dcterms="http://purl.org/dc/terms/" xmlns:xsi="http://www.w3.org/2001/XMLSchema-instance" xsi:type="dcterms:W3CDTF">2026-08-17T03:15:40Z</dcterms:modified>
</cp:coreProperties>
</file>