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目次" sheetId="1" state="visible" r:id="rId1"/>
    <sheet name="分断方向転換" sheetId="2" state="visible" r:id="rId2"/>
    <sheet name="capture率" sheetId="3" state="visible" r:id="rId3"/>
    <sheet name="帯域分解" sheetId="4" state="visible" r:id="rId4"/>
    <sheet name="泊DC_2x2" sheetId="5" state="visible" r:id="rId5"/>
    <sheet name="文献構成" sheetId="6" state="visible" r:id="rId6"/>
    <sheet name="風力スイープ" sheetId="7" state="visible" r:id="rId7"/>
    <sheet name="年間裁定粗利" sheetId="8" state="visible" r:id="rId8"/>
    <sheet name="帯域分解時系列" sheetId="9" state="visible" r:id="rId9"/>
    <sheet name="併設BTM検討" sheetId="10" state="visible" r:id="rId10"/>
    <sheet name="帯域分解比較" sheetId="11" state="visible" r:id="rId11"/>
    <sheet name="価格カーブ形状" sheetId="12" state="visible" r:id="rId12"/>
    <sheet name="風力価格カーブ" sheetId="13" state="visible" r:id="rId13"/>
    <sheet name="風力×裁定指標" sheetId="14" state="visible" r:id="rId14"/>
    <sheet name="duration曲線" sheetId="15" state="visible" r:id="rId15"/>
    <sheet name="量と価格の関係" sheetId="16" state="visible" r:id="rId16"/>
    <sheet name="価格水準θ" sheetId="17" state="visible" r:id="rId17"/>
    <sheet name="π(K)水準感応度" sheetId="18" state="visible" r:id="rId18"/>
    <sheet name="均衡面" sheetId="19" state="visible" r:id="rId19"/>
    <sheet name="フロンティア" sheetId="20" state="visible" r:id="rId20"/>
    <sheet name="空間分散" sheetId="21" state="visible" r:id="rId21"/>
    <sheet name="BTM回避率" sheetId="22" state="visible" r:id="rId22"/>
    <sheet name="燃料危機期除外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PF価値（円/kW-年） vs K_wind（万kW）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'風力スイープ'!$F$4:$F$12</f>
            </numRef>
          </val>
          <smooth val="0"/>
        </ser>
        <ser>
          <idx val="1"/>
          <order val="1"/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'風力スイープ'!$F$13:$F$21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年間裁定粗利（円/kW-年）</a:t>
            </a:r>
          </a:p>
        </rich>
      </tx>
    </title>
    <plotArea>
      <lineChart>
        <grouping val="standard"/>
        <ser>
          <idx val="0"/>
          <order val="0"/>
          <tx>
            <strRef>
              <f>'年間裁定粗利'!B3</f>
            </strRef>
          </tx>
          <spPr>
            <a:ln w="22000">
              <a:solidFill>
                <a:srgbClr val="A6B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'年間裁定粗利'!$B$4:$B$13</f>
            </numRef>
          </val>
          <smooth val="0"/>
        </ser>
        <ser>
          <idx val="1"/>
          <order val="1"/>
          <tx>
            <strRef>
              <f>'年間裁定粗利'!C3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'年間裁定粗利'!$C$4:$C$13</f>
            </numRef>
          </val>
          <smooth val="0"/>
        </ser>
        <ser>
          <idx val="2"/>
          <order val="2"/>
          <tx>
            <strRef>
              <f>'年間裁定粗利'!D3</f>
            </strRef>
          </tx>
          <spPr>
            <a:ln w="22000">
              <a:solidFill>
                <a:srgbClr val="5DB6E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'年間裁定粗利'!$D$4:$D$13</f>
            </numRef>
          </val>
          <smooth val="0"/>
        </ser>
        <ser>
          <idx val="3"/>
          <order val="3"/>
          <tx>
            <strRef>
              <f>'年間裁定粗利'!E3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帯域別の分散シェア（%）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'帯域分解時系列'!B3</f>
            </strRef>
          </tx>
          <spPr>
            <a:ln w="22000">
              <a:solidFill>
                <a:srgbClr val="5DB6E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'帯域分解時系列'!$B$4:$B$13</f>
            </numRef>
          </val>
          <smooth val="0"/>
        </ser>
        <ser>
          <idx val="1"/>
          <order val="1"/>
          <tx>
            <strRef>
              <f>'帯域分解時系列'!C3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'帯域分解時系列'!$C$4:$C$13</f>
            </numRef>
          </val>
          <smooth val="0"/>
        </ser>
        <ser>
          <idx val="2"/>
          <order val="2"/>
          <tx>
            <strRef>
              <f>'帯域分解時系列'!D3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'帯域分解時系列'!$D$4:$D$13</f>
            </numRef>
          </val>
          <smooth val="0"/>
        </ser>
        <ser>
          <idx val="3"/>
          <order val="3"/>
          <tx>
            <strRef>
              <f>'帯域分解時系列'!E3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回避価値上限（円/kW風力-年）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'併設BTM検討'!C18</f>
            </strRef>
          </tx>
          <spPr>
            <a:ln>
              <a:prstDash val="solid"/>
            </a:ln>
          </spPr>
          <cat>
            <numRef>
              <f>'併設BTM検討'!$A$19:$A$22</f>
            </numRef>
          </cat>
          <val>
            <numRef>
              <f>'併設BTM検討'!$C$19:$C$22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北海道風力 vs 九州太陽光（分散シェア%）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'帯域分解比較'!B4</f>
            </strRef>
          </tx>
          <spPr>
            <a:ln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'帯域分解比較'!$B$5:$B$8</f>
            </numRef>
          </val>
        </ser>
        <ser>
          <idx val="1"/>
          <order val="1"/>
          <tx>
            <strRef>
              <f>'帯域分解比較'!C4</f>
            </strRef>
          </tx>
          <spPr>
            <a:ln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北海道太陽光: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'帯域分解比較'!B26</f>
            </strRef>
          </tx>
          <spPr>
            <a:ln w="22000">
              <a:solidFill>
                <a:srgbClr val="5DB6E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'帯域分解比較'!$B$27:$B$36</f>
            </numRef>
          </val>
          <smooth val="0"/>
        </ser>
        <ser>
          <idx val="1"/>
          <order val="1"/>
          <tx>
            <strRef>
              <f>'帯域分解比較'!C26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'帯域分解比較'!$C$27:$C$36</f>
            </numRef>
          </val>
          <smooth val="0"/>
        </ser>
        <ser>
          <idx val="2"/>
          <order val="2"/>
          <tx>
            <strRef>
              <f>'帯域分解比較'!D26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'帯域分解比較'!$D$27:$D$36</f>
            </numRef>
          </val>
          <smooth val="0"/>
        </ser>
        <ser>
          <idx val="3"/>
          <order val="3"/>
          <tx>
            <strRef>
              <f>'帯域分解比較'!E26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'帯域分解比較'!$E$27:$E$36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九州太陽光: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'帯域分解比較'!B12</f>
            </strRef>
          </tx>
          <spPr>
            <a:ln w="22000">
              <a:solidFill>
                <a:srgbClr val="5DB6E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'帯域分解比較'!$B$13:$B$22</f>
            </numRef>
          </val>
          <smooth val="0"/>
        </ser>
        <ser>
          <idx val="1"/>
          <order val="1"/>
          <tx>
            <strRef>
              <f>'帯域分解比較'!C12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'帯域分解比較'!$C$13:$C$22</f>
            </numRef>
          </val>
          <smooth val="0"/>
        </ser>
        <ser>
          <idx val="2"/>
          <order val="2"/>
          <tx>
            <strRef>
              <f>'帯域分解比較'!D12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'帯域分解比較'!$D$13:$D$22</f>
            </numRef>
          </val>
          <smooth val="0"/>
        </ser>
        <ser>
          <idx val="3"/>
          <order val="3"/>
          <tx>
            <strRef>
              <f>'帯域分解比較'!E12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'帯域分解比較'!$E$13:$E$22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不需要期（3-6・10-11月）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'風力価格カーブ'!B4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'風力価格カーブ'!$B$5:$B$28</f>
            </numRef>
          </val>
        </ser>
        <ser>
          <idx val="1"/>
          <order val="1"/>
          <tx>
            <strRef>
              <f>'風力価格カーブ'!C4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'風力価格カーブ'!$C$5:$C$28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'風力価格カーブ'!E4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'風力価格カーブ'!$E$5:$E$28</f>
            </numRef>
          </val>
        </ser>
        <ser>
          <idx val="1"/>
          <order val="1"/>
          <tx>
            <strRef>
              <f>'風力価格カーブ'!F4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'風力価格カーブ'!$F$5:$F$28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不需要期（3-6・10-11月）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'風力価格カーブ'!H4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'風力価格カーブ'!$H$5:$H$28</f>
            </numRef>
          </val>
        </ser>
        <ser>
          <idx val="1"/>
          <order val="1"/>
          <tx>
            <strRef>
              <f>'風力価格カーブ'!I4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'風力価格カーブ'!$I$5:$I$28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PF粗利（円/kW-日）: 風力三分位×季節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'風力×裁定指標'!I3</f>
            </strRef>
          </tx>
          <spPr>
            <a:ln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'風力×裁定指標'!$I$4:$I$6</f>
            </numRef>
          </val>
        </ser>
        <ser>
          <idx val="1"/>
          <order val="1"/>
          <tx>
            <strRef>
              <f>'風力×裁定指標'!J3</f>
            </strRef>
          </tx>
          <spPr>
            <a:ln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'風力×裁定指標'!$J$4:$J$6</f>
            </numRef>
          </val>
        </ser>
        <ser>
          <idx val="2"/>
          <order val="2"/>
          <tx>
            <strRef>
              <f>'風力×裁定指標'!K3</f>
            </strRef>
          </tx>
          <spPr>
            <a:ln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'風力×裁定指標'!$K$4:$K$6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スポットPF価値（円/kW-年）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'duration曲線'!B3</f>
            </strRef>
          </tx>
          <spPr>
            <a:ln>
              <a:prstDash val="solid"/>
            </a:ln>
          </spPr>
          <cat>
            <numRef>
              <f>'duration曲線'!$A$4:$A$7</f>
            </numRef>
          </cat>
          <val>
            <numRef>
              <f>'duration曲線'!$B$4:$B$7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風力: 日内TB4hスプレッド（円/kWh）× 発電量五分位</a:t>
            </a:r>
          </a:p>
        </rich>
      </tx>
    </title>
    <plotArea>
      <lineChart>
        <grouping val="standard"/>
        <ser>
          <idx val="0"/>
          <order val="0"/>
          <tx>
            <strRef>
              <f>'量と価格の関係'!D4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'量と価格の関係'!$D$5:$D$9</f>
            </numRef>
          </val>
          <smooth val="0"/>
        </ser>
        <ser>
          <idx val="1"/>
          <order val="1"/>
          <tx>
            <strRef>
              <f>'量と価格の関係'!H4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'量と価格の関係'!$H$5:$H$9</f>
            </numRef>
          </val>
          <smooth val="0"/>
        </ser>
        <ser>
          <idx val="2"/>
          <order val="2"/>
          <tx>
            <strRef>
              <f>'量と価格の関係'!L4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'量と価格の関係'!$A$5:$A$9</f>
            </numRef>
          </cat>
          <val>
            <numRef>
              <f>'量と価格の関係'!$L$5:$L$9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太陽光: 日内TB4hスプレッド（円/kWh）× 発電量五分位</a:t>
            </a:r>
          </a:p>
        </rich>
      </tx>
    </title>
    <plotArea>
      <lineChart>
        <grouping val="standard"/>
        <ser>
          <idx val="0"/>
          <order val="0"/>
          <tx>
            <strRef>
              <f>'量と価格の関係'!D12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'量と価格の関係'!$D$13:$D$17</f>
            </numRef>
          </val>
          <smooth val="0"/>
        </ser>
        <ser>
          <idx val="1"/>
          <order val="1"/>
          <tx>
            <strRef>
              <f>'量と価格の関係'!H12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'量と価格の関係'!$H$13:$H$17</f>
            </numRef>
          </val>
          <smooth val="0"/>
        </ser>
        <ser>
          <idx val="2"/>
          <order val="2"/>
          <tx>
            <strRef>
              <f>'量と価格の関係'!L12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'量と価格の関係'!$A$13:$A$17</f>
            </numRef>
          </cat>
          <val>
            <numRef>
              <f>'量と価格の関係'!$L$13:$L$17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月次 θ_m</a:t>
            </a:r>
          </a:p>
        </rich>
      </tx>
    </title>
    <plotArea>
      <lineChart>
        <grouping val="standard"/>
        <ser>
          <idx val="0"/>
          <order val="0"/>
          <tx>
            <strRef>
              <f>'価格水準θ'!H4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'価格水準θ'!$G$5:$G$55</f>
            </numRef>
          </cat>
          <val>
            <numRef>
              <f>'価格水準θ'!$H$5:$H$55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π_実現可能(K) シナリオ別</a:t>
            </a:r>
          </a:p>
        </rich>
      </tx>
    </title>
    <plotArea>
      <lineChart>
        <grouping val="standard"/>
        <ser>
          <idx val="0"/>
          <order val="0"/>
          <tx>
            <strRef>
              <f>'π(K)水準感応度'!B4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'π(K)水準感応度'!$A$5:$A$12</f>
            </numRef>
          </cat>
          <val>
            <numRef>
              <f>'π(K)水準感応度'!$B$5:$B$12</f>
            </numRef>
          </val>
          <smooth val="0"/>
        </ser>
        <ser>
          <idx val="1"/>
          <order val="1"/>
          <tx>
            <strRef>
              <f>'π(K)水準感応度'!C4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'π(K)水準感応度'!$A$5:$A$12</f>
            </numRef>
          </cat>
          <val>
            <numRef>
              <f>'π(K)水準感応度'!$C$5:$C$12</f>
            </numRef>
          </val>
          <smooth val="0"/>
        </ser>
        <ser>
          <idx val="2"/>
          <order val="2"/>
          <tx>
            <strRef>
              <f>'π(K)水準感応度'!D4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'π(K)水準感応度'!$A$5:$A$12</f>
            </numRef>
          </cat>
          <val>
            <numRef>
              <f>'π(K)水準感応度'!$D$5:$D$12</f>
            </numRef>
          </val>
          <smooth val="0"/>
        </ser>
        <ser>
          <idx val="3"/>
          <order val="3"/>
          <tx>
            <strRef>
              <f>'π(K)水準感応度'!E4</f>
            </strRef>
          </tx>
          <spPr>
            <a:ln w="22000">
              <a:solidFill>
                <a:srgbClr val="7B3F9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'π(K)水準感応度'!$A$5:$A$12</f>
            </numRef>
          </cat>
          <val>
            <numRef>
              <f>'π(K)水準感応度'!$E$5:$E$12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π(K; K_wind) 泊なし</a:t>
            </a:r>
          </a:p>
        </rich>
      </tx>
    </title>
    <plotArea>
      <lineChart>
        <grouping val="standard"/>
        <ser>
          <idx val="0"/>
          <order val="0"/>
          <tx>
            <strRef>
              <f>'均衡面'!B4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'均衡面'!$B$5:$B$11</f>
            </numRef>
          </val>
          <smooth val="0"/>
        </ser>
        <ser>
          <idx val="1"/>
          <order val="1"/>
          <tx>
            <strRef>
              <f>'均衡面'!C4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'均衡面'!$C$5:$C$11</f>
            </numRef>
          </val>
          <smooth val="0"/>
        </ser>
        <ser>
          <idx val="2"/>
          <order val="2"/>
          <tx>
            <strRef>
              <f>'均衡面'!D4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'均衡面'!$D$5:$D$11</f>
            </numRef>
          </val>
          <smooth val="0"/>
        </ser>
        <ser>
          <idx val="3"/>
          <order val="3"/>
          <tx>
            <strRef>
              <f>'均衡面'!E4</f>
            </strRef>
          </tx>
          <spPr>
            <a:ln w="22000">
              <a:solidFill>
                <a:srgbClr val="7B3F9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'均衡面'!$E$5:$E$11</f>
            </numRef>
          </val>
          <smooth val="0"/>
        </ser>
        <ser>
          <idx val="4"/>
          <order val="4"/>
          <tx>
            <strRef>
              <f>'均衡面'!F4</f>
            </strRef>
          </tx>
          <spPr>
            <a:ln w="22000">
              <a:solidFill>
                <a:srgbClr val="9DC3E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'均衡面'!$A$5:$A$11</f>
            </numRef>
          </cat>
          <val>
            <numRef>
              <f>'均衡面'!$F$5:$F$11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π(K; K_wind) 泊あり</a:t>
            </a:r>
          </a:p>
        </rich>
      </tx>
    </title>
    <plotArea>
      <lineChart>
        <grouping val="standard"/>
        <ser>
          <idx val="0"/>
          <order val="0"/>
          <tx>
            <strRef>
              <f>'均衡面'!B15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'均衡面'!$B$16:$B$22</f>
            </numRef>
          </val>
          <smooth val="0"/>
        </ser>
        <ser>
          <idx val="1"/>
          <order val="1"/>
          <tx>
            <strRef>
              <f>'均衡面'!C15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'均衡面'!$C$16:$C$22</f>
            </numRef>
          </val>
          <smooth val="0"/>
        </ser>
        <ser>
          <idx val="2"/>
          <order val="2"/>
          <tx>
            <strRef>
              <f>'均衡面'!D15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'均衡面'!$D$16:$D$22</f>
            </numRef>
          </val>
          <smooth val="0"/>
        </ser>
        <ser>
          <idx val="3"/>
          <order val="3"/>
          <tx>
            <strRef>
              <f>'均衡面'!E15</f>
            </strRef>
          </tx>
          <spPr>
            <a:ln w="22000">
              <a:solidFill>
                <a:srgbClr val="7B3F9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'均衡面'!$E$16:$E$22</f>
            </numRef>
          </val>
          <smooth val="0"/>
        </ser>
        <ser>
          <idx val="4"/>
          <order val="4"/>
          <tx>
            <strRef>
              <f>'均衡面'!F15</f>
            </strRef>
          </tx>
          <spPr>
            <a:ln w="22000">
              <a:solidFill>
                <a:srgbClr val="9DC3E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'均衡面'!$A$16:$A$22</f>
            </numRef>
          </cat>
          <val>
            <numRef>
              <f>'均衡面'!$F$16:$F$22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PF価値 vs λ</a:t>
            </a:r>
          </a:p>
        </rich>
      </tx>
    </title>
    <plotArea>
      <lineChart>
        <grouping val="standard"/>
        <ser>
          <idx val="0"/>
          <order val="0"/>
          <tx>
            <strRef>
              <f>'空間分散'!K3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'空間分散'!$A$4:$A$8</f>
            </numRef>
          </cat>
          <val>
            <numRef>
              <f>'空間分散'!$K$4:$K$8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風力→TB4h 係数 vs λ</a:t>
            </a:r>
          </a:p>
        </rich>
      </tx>
    </title>
    <plotArea>
      <lineChart>
        <grouping val="standard"/>
        <ser>
          <idx val="0"/>
          <order val="0"/>
          <tx>
            <strRef>
              <f>'空間分散'!M3</f>
            </strRef>
          </tx>
          <spPr>
            <a:ln w="22000">
              <a:solidFill>
                <a:srgbClr val="0079C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'空間分散'!$A$4:$A$8</f>
            </numRef>
          </cat>
          <val>
            <numRef>
              <f>'空間分散'!$M$4:$M$8</f>
            </numRef>
          </val>
          <smooth val="0"/>
        </ser>
        <ser>
          <idx val="1"/>
          <order val="1"/>
          <tx>
            <strRef>
              <f>'空間分散'!O3</f>
            </strRef>
          </tx>
          <spPr>
            <a:ln w="22000">
              <a:solidFill>
                <a:srgbClr val="D95B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'空間分散'!$A$4:$A$8</f>
            </numRef>
          </cat>
          <val>
            <numRef>
              <f>'空間分散'!$O$4:$O$8</f>
            </numRef>
          </val>
          <smooth val="0"/>
        </ser>
        <ser>
          <idx val="2"/>
          <order val="2"/>
          <tx>
            <strRef>
              <f>'空間分散'!Q3</f>
            </strRef>
          </tx>
          <spPr>
            <a:ln w="22000">
              <a:solidFill>
                <a:srgbClr val="17687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'空間分散'!$A$4:$A$8</f>
            </numRef>
          </cat>
          <val>
            <numRef>
              <f>'空間分散'!$Q$4:$Q$8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円/kWh per GWh/日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36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19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13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6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2"/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9"/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  <row r="12">
      <c r="A12" t="inlineStr">
        <is>
          <t>風力価格カーブ</t>
        </is>
      </c>
      <c r="B12" t="inlineStr">
        <is>
          <t>追加: 風力大小×3季節の価格カーブ</t>
        </is>
      </c>
    </row>
    <row r="13">
      <c r="A13" t="inlineStr">
        <is>
          <t>風力×裁定指標</t>
        </is>
      </c>
      <c r="B13" t="inlineStr">
        <is>
          <t>追加: 風力三分位×TB4h/PF/床/安値分断</t>
        </is>
      </c>
    </row>
    <row r="14">
      <c r="A14" t="inlineStr">
        <is>
          <t>duration曲線</t>
        </is>
      </c>
      <c r="B14" t="inlineStr">
        <is>
          <t>追加: PF価値のh依存＋κ(h)</t>
        </is>
      </c>
    </row>
    <row r="15">
      <c r="A15" t="inlineStr">
        <is>
          <t>風力スイープ</t>
        </is>
      </c>
      <c r="B15" t="inlineStr">
        <is>
          <t>追加: K_wind 0.5-3×の蓄電池価値カーブ（泊あり/なし）</t>
        </is>
      </c>
    </row>
    <row r="16">
      <c r="A16" t="inlineStr">
        <is>
          <t>年間裁定粗利</t>
        </is>
      </c>
      <c r="B16" t="inlineStr">
        <is>
          <t>追加: PF/a/b/cの年間裁定粗利 時系列（FY2016-25）</t>
        </is>
      </c>
    </row>
    <row r="17">
      <c r="A17" t="inlineStr">
        <is>
          <t>帯域分解時系列</t>
        </is>
      </c>
      <c r="B17" t="inlineStr">
        <is>
          <t>追加: 風力帯域分解の年度別推移</t>
        </is>
      </c>
    </row>
    <row r="18">
      <c r="A18" t="inlineStr">
        <is>
          <t>併設BTM検討</t>
        </is>
      </c>
      <c r="B18" t="inlineStr">
        <is>
          <t>追加: BTM対象化の根拠（抑制実績・価格内訳・回避価値試算）</t>
        </is>
      </c>
    </row>
    <row r="19">
      <c r="A19" t="inlineStr">
        <is>
          <t>帯域分解比較</t>
        </is>
      </c>
      <c r="B19" t="inlineStr">
        <is>
          <t>追加: 北海道風力 vs 九州太陽光の帯域分解（静的＋九州太陽光の時系列）</t>
        </is>
      </c>
    </row>
    <row r="20">
      <c r="A20" t="inlineStr">
        <is>
          <t>量と価格の関係</t>
        </is>
      </c>
      <c r="B20" t="inlineStr">
        <is>
          <t>追加: 発電量五分位×価格水準・TB4hスプレッド（風力vs太陽光・季節別）</t>
        </is>
      </c>
    </row>
    <row r="21">
      <c r="A21" t="inlineStr">
        <is>
          <t>価格水準θ</t>
        </is>
      </c>
      <c r="B21" t="inlineStr">
        <is>
          <t>追加(9/29): 供給曲線v2の年度別・月次の価格水準係数θ（表8.2）</t>
        </is>
      </c>
    </row>
    <row r="22">
      <c r="A22" t="inlineStr">
        <is>
          <t>π(K)水準感応度</t>
        </is>
      </c>
      <c r="B22" t="inlineStr">
        <is>
          <t>追加(9/29): θ=1／FY2026上期／FY2022／泊 の π(K) と損益分岐θ*（表8.5・図8.4）</t>
        </is>
      </c>
    </row>
    <row r="23">
      <c r="A23" t="inlineStr">
        <is>
          <t>均衡面</t>
        </is>
      </c>
      <c r="B23" t="inlineStr">
        <is>
          <t>追加(9/29): 風力0.5〜3×の均衡面（表8.6・図8.3）</t>
        </is>
      </c>
    </row>
    <row r="24">
      <c r="A24" t="inlineStr">
        <is>
          <t>フロンティア</t>
        </is>
      </c>
      <c r="B24" t="inlineStr">
        <is>
          <t>追加(9/29): θ*格子・K*格子・P_cap(K)（表9.2・9.3・8.7、図9.1）</t>
        </is>
      </c>
    </row>
    <row r="25">
      <c r="A25" t="inlineStr">
        <is>
          <t>空間分散</t>
        </is>
      </c>
      <c r="B25" t="inlineStr">
        <is>
          <t>追加(9/29): 集中立地の反実仮想（表6.4・図6.5）</t>
        </is>
      </c>
    </row>
    <row r="26">
      <c r="A26" t="inlineStr">
        <is>
          <t>BTM回避率</t>
        </is>
      </c>
      <c r="B26" t="inlineStr">
        <is>
          <t>追加(9/29): 回避可能率 一様／集中（表9.1）</t>
        </is>
      </c>
    </row>
    <row r="27">
      <c r="A27" t="inlineStr">
        <is>
          <t>燃料危機期除外</t>
        </is>
      </c>
      <c r="B27" t="inlineStr">
        <is>
          <t>追加(9/29): 6.5.4 の頑健性（表6.8）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4" t="inlineStr">
        <is>
          <t>K_windスイープ: 風力導入量×蓄電池スポット価値（価格過程v1、FY2023-25平均）</t>
        </is>
      </c>
    </row>
    <row r="3">
      <c r="A3" s="2" t="inlineStr">
        <is>
          <t>泊</t>
        </is>
      </c>
      <c r="B3" s="2" t="inlineStr">
        <is>
          <t>K_wind倍率</t>
        </is>
      </c>
      <c r="C3" s="2" t="inlineStr">
        <is>
          <t>K_wind(万kW)</t>
        </is>
      </c>
      <c r="D3" s="2" t="inlineStr">
        <is>
          <t>床時間(h/年)</t>
        </is>
      </c>
      <c r="E3" s="2" t="inlineStr">
        <is>
          <t>TB4h中央値(円/kWh)</t>
        </is>
      </c>
      <c r="F3" s="2" t="inlineStr">
        <is>
          <t>PF価値(円/kW-年)</t>
        </is>
      </c>
    </row>
    <row r="4">
      <c r="A4" t="inlineStr">
        <is>
          <t>なし</t>
        </is>
      </c>
      <c r="B4" t="n">
        <v>0.5</v>
      </c>
      <c r="C4" t="n">
        <v>61</v>
      </c>
      <c r="D4" t="n">
        <v>62</v>
      </c>
      <c r="E4" t="n">
        <v>8.23</v>
      </c>
      <c r="F4" t="n">
        <v>8528</v>
      </c>
    </row>
    <row r="5">
      <c r="A5" t="inlineStr">
        <is>
          <t>なし</t>
        </is>
      </c>
      <c r="B5" t="n">
        <v>0.75</v>
      </c>
      <c r="C5" t="n">
        <v>91</v>
      </c>
      <c r="D5" t="n">
        <v>90</v>
      </c>
      <c r="E5" t="n">
        <v>8.199999999999999</v>
      </c>
      <c r="F5" t="n">
        <v>8574</v>
      </c>
    </row>
    <row r="6">
      <c r="A6" t="inlineStr">
        <is>
          <t>なし</t>
        </is>
      </c>
      <c r="B6" t="n">
        <v>1</v>
      </c>
      <c r="C6" t="n">
        <v>121</v>
      </c>
      <c r="D6" t="n">
        <v>117</v>
      </c>
      <c r="E6" t="n">
        <v>8.17</v>
      </c>
      <c r="F6" t="n">
        <v>8593</v>
      </c>
    </row>
    <row r="7">
      <c r="A7" t="inlineStr">
        <is>
          <t>なし</t>
        </is>
      </c>
      <c r="B7" t="n">
        <v>1.25</v>
      </c>
      <c r="C7" t="n">
        <v>151</v>
      </c>
      <c r="D7" t="n">
        <v>152</v>
      </c>
      <c r="E7" t="n">
        <v>8.109999999999999</v>
      </c>
      <c r="F7" t="n">
        <v>8663</v>
      </c>
    </row>
    <row r="8">
      <c r="A8" t="inlineStr">
        <is>
          <t>なし</t>
        </is>
      </c>
      <c r="B8" t="n">
        <v>1.5</v>
      </c>
      <c r="C8" t="n">
        <v>182</v>
      </c>
      <c r="D8" t="n">
        <v>197</v>
      </c>
      <c r="E8" t="n">
        <v>8.050000000000001</v>
      </c>
      <c r="F8" t="n">
        <v>8792</v>
      </c>
    </row>
    <row r="9">
      <c r="A9" t="inlineStr">
        <is>
          <t>なし</t>
        </is>
      </c>
      <c r="B9" t="n">
        <v>1.75</v>
      </c>
      <c r="C9" t="n">
        <v>212</v>
      </c>
      <c r="D9" t="n">
        <v>253</v>
      </c>
      <c r="E9" t="n">
        <v>8.24</v>
      </c>
      <c r="F9" t="n">
        <v>9000</v>
      </c>
    </row>
    <row r="10">
      <c r="A10" t="inlineStr">
        <is>
          <t>なし</t>
        </is>
      </c>
      <c r="B10" t="n">
        <v>2</v>
      </c>
      <c r="C10" t="n">
        <v>242</v>
      </c>
      <c r="D10" t="n">
        <v>324</v>
      </c>
      <c r="E10" t="n">
        <v>8.220000000000001</v>
      </c>
      <c r="F10" t="n">
        <v>9198</v>
      </c>
    </row>
    <row r="11">
      <c r="A11" t="inlineStr">
        <is>
          <t>なし</t>
        </is>
      </c>
      <c r="B11" t="n">
        <v>2.5</v>
      </c>
      <c r="C11" t="n">
        <v>303</v>
      </c>
      <c r="D11" t="n">
        <v>515</v>
      </c>
      <c r="E11" t="n">
        <v>8.640000000000001</v>
      </c>
      <c r="F11" t="n">
        <v>9824</v>
      </c>
    </row>
    <row r="12">
      <c r="A12" t="inlineStr">
        <is>
          <t>なし</t>
        </is>
      </c>
      <c r="B12" t="n">
        <v>3</v>
      </c>
      <c r="C12" t="n">
        <v>363</v>
      </c>
      <c r="D12" t="n">
        <v>807</v>
      </c>
      <c r="E12" t="n">
        <v>9.31</v>
      </c>
      <c r="F12" t="n">
        <v>10554</v>
      </c>
    </row>
    <row r="13">
      <c r="A13" t="inlineStr">
        <is>
          <t>あり</t>
        </is>
      </c>
      <c r="B13" t="n">
        <v>0.5</v>
      </c>
      <c r="C13" t="n">
        <v>61</v>
      </c>
      <c r="D13" t="n">
        <v>526</v>
      </c>
      <c r="E13" t="n">
        <v>8.01</v>
      </c>
      <c r="F13" t="n">
        <v>9271</v>
      </c>
    </row>
    <row r="14">
      <c r="A14" t="inlineStr">
        <is>
          <t>あり</t>
        </is>
      </c>
      <c r="B14" t="n">
        <v>0.75</v>
      </c>
      <c r="C14" t="n">
        <v>91</v>
      </c>
      <c r="D14" t="n">
        <v>612</v>
      </c>
      <c r="E14" t="n">
        <v>8.18</v>
      </c>
      <c r="F14" t="n">
        <v>9488</v>
      </c>
    </row>
    <row r="15">
      <c r="A15" t="inlineStr">
        <is>
          <t>あり</t>
        </is>
      </c>
      <c r="B15" t="n">
        <v>1</v>
      </c>
      <c r="C15" t="n">
        <v>121</v>
      </c>
      <c r="D15" t="n">
        <v>704</v>
      </c>
      <c r="E15" t="n">
        <v>8.49</v>
      </c>
      <c r="F15" t="n">
        <v>9777</v>
      </c>
    </row>
    <row r="16">
      <c r="A16" t="inlineStr">
        <is>
          <t>あり</t>
        </is>
      </c>
      <c r="B16" t="n">
        <v>1.25</v>
      </c>
      <c r="C16" t="n">
        <v>151</v>
      </c>
      <c r="D16" t="n">
        <v>815</v>
      </c>
      <c r="E16" t="n">
        <v>8.949999999999999</v>
      </c>
      <c r="F16" t="n">
        <v>10053</v>
      </c>
    </row>
    <row r="17">
      <c r="A17" t="inlineStr">
        <is>
          <t>あり</t>
        </is>
      </c>
      <c r="B17" t="n">
        <v>1.5</v>
      </c>
      <c r="C17" t="n">
        <v>182</v>
      </c>
      <c r="D17" t="n">
        <v>972</v>
      </c>
      <c r="E17" t="n">
        <v>9.289999999999999</v>
      </c>
      <c r="F17" t="n">
        <v>10459</v>
      </c>
    </row>
    <row r="18">
      <c r="A18" t="inlineStr">
        <is>
          <t>あり</t>
        </is>
      </c>
      <c r="B18" t="n">
        <v>1.75</v>
      </c>
      <c r="C18" t="n">
        <v>212</v>
      </c>
      <c r="D18" t="n">
        <v>1179</v>
      </c>
      <c r="E18" t="n">
        <v>9.58</v>
      </c>
      <c r="F18" t="n">
        <v>10901</v>
      </c>
    </row>
    <row r="19">
      <c r="A19" t="inlineStr">
        <is>
          <t>あり</t>
        </is>
      </c>
      <c r="B19" t="n">
        <v>2</v>
      </c>
      <c r="C19" t="n">
        <v>242</v>
      </c>
      <c r="D19" t="n">
        <v>1408</v>
      </c>
      <c r="E19" t="n">
        <v>9.800000000000001</v>
      </c>
      <c r="F19" t="n">
        <v>11271</v>
      </c>
    </row>
    <row r="20">
      <c r="A20" t="inlineStr">
        <is>
          <t>あり</t>
        </is>
      </c>
      <c r="B20" t="n">
        <v>2.5</v>
      </c>
      <c r="C20" t="n">
        <v>303</v>
      </c>
      <c r="D20" t="n">
        <v>1881</v>
      </c>
      <c r="E20" t="n">
        <v>10.18</v>
      </c>
      <c r="F20" t="n">
        <v>12009</v>
      </c>
    </row>
    <row r="21">
      <c r="A21" t="inlineStr">
        <is>
          <t>あり</t>
        </is>
      </c>
      <c r="B21" t="n">
        <v>3</v>
      </c>
      <c r="C21" t="n">
        <v>363</v>
      </c>
      <c r="D21" t="n">
        <v>2247</v>
      </c>
      <c r="E21" t="n">
        <v>10.65</v>
      </c>
      <c r="F21" t="n">
        <v>12615</v>
      </c>
    </row>
    <row r="25">
      <c r="A25" s="3" t="inlineStr">
        <is>
          <t>注: 部分均衡（蓄電池フリート応答・p_system・供給側の内生反応は未反映）。青=泊なし/橙=泊あり。K_wind現状121万kW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s="4" t="inlineStr">
        <is>
          <t>北海道: 年間裁定粗利の時系列（円/kW-年、4h・往復効率0.85・60分粒度）</t>
        </is>
      </c>
    </row>
    <row r="3">
      <c r="A3" s="2" t="inlineStr">
        <is>
          <t>年度</t>
        </is>
      </c>
      <c r="B3" s="2" t="inlineStr">
        <is>
          <t>完全予見PF</t>
        </is>
      </c>
      <c r="C3" s="2" t="inlineStr">
        <is>
          <t>a. 前日価格ナイーブ</t>
        </is>
      </c>
      <c r="D3" s="2" t="inlineStr">
        <is>
          <t>b. 前日予測ベース</t>
        </is>
      </c>
      <c r="E3" s="2" t="inlineStr">
        <is>
          <t>c. 平均価格（気候値）</t>
        </is>
      </c>
    </row>
    <row r="4">
      <c r="A4" t="inlineStr">
        <is>
          <t>FY2016</t>
        </is>
      </c>
      <c r="B4" t="n">
        <v>10856</v>
      </c>
      <c r="C4" t="n">
        <v>7729.1</v>
      </c>
      <c r="D4" t="n">
        <v>2435.9</v>
      </c>
      <c r="E4" t="n">
        <v>9150.6</v>
      </c>
    </row>
    <row r="5">
      <c r="A5" t="inlineStr">
        <is>
          <t>FY2017</t>
        </is>
      </c>
      <c r="B5" t="n">
        <v>6356.5</v>
      </c>
      <c r="C5" t="n">
        <v>4592.4</v>
      </c>
      <c r="D5" t="n">
        <v>1105.6</v>
      </c>
      <c r="E5" t="n">
        <v>5197.8</v>
      </c>
    </row>
    <row r="6">
      <c r="A6" t="inlineStr">
        <is>
          <t>FY2018</t>
        </is>
      </c>
      <c r="B6" t="n">
        <v>10302.1</v>
      </c>
      <c r="C6" t="n">
        <v>6818</v>
      </c>
      <c r="D6" t="n">
        <v>1015.6</v>
      </c>
      <c r="E6" t="n">
        <v>8076.4</v>
      </c>
    </row>
    <row r="7">
      <c r="A7" t="inlineStr">
        <is>
          <t>FY2019</t>
        </is>
      </c>
      <c r="B7" t="n">
        <v>8899.1</v>
      </c>
      <c r="C7" t="n">
        <v>5893</v>
      </c>
      <c r="D7" t="n">
        <v>3223.7</v>
      </c>
      <c r="E7" t="n">
        <v>7057.1</v>
      </c>
    </row>
    <row r="8">
      <c r="A8" t="inlineStr">
        <is>
          <t>FY2020</t>
        </is>
      </c>
      <c r="B8" t="n">
        <v>15854</v>
      </c>
      <c r="C8" t="n">
        <v>11755.6</v>
      </c>
      <c r="D8" t="n">
        <v>5796.6</v>
      </c>
      <c r="E8" t="n">
        <v>12932.7</v>
      </c>
    </row>
    <row r="9">
      <c r="A9" t="inlineStr">
        <is>
          <t>FY2021</t>
        </is>
      </c>
      <c r="B9" t="n">
        <v>13530.5</v>
      </c>
      <c r="C9" t="n">
        <v>8879.4</v>
      </c>
      <c r="D9" t="n">
        <v>8217.700000000001</v>
      </c>
      <c r="E9" t="n">
        <v>10338.1</v>
      </c>
    </row>
    <row r="10">
      <c r="A10" t="inlineStr">
        <is>
          <t>FY2022</t>
        </is>
      </c>
      <c r="B10" t="n">
        <v>25159.6</v>
      </c>
      <c r="C10" t="n">
        <v>18730.4</v>
      </c>
      <c r="D10" t="n">
        <v>19369.4</v>
      </c>
      <c r="E10" t="n">
        <v>21017.2</v>
      </c>
    </row>
    <row r="11">
      <c r="A11" t="inlineStr">
        <is>
          <t>FY2023</t>
        </is>
      </c>
      <c r="B11" t="n">
        <v>9873.5</v>
      </c>
      <c r="C11" t="n">
        <v>6734.8</v>
      </c>
      <c r="D11" t="n">
        <v>7634.8</v>
      </c>
      <c r="E11" t="n">
        <v>8151.7</v>
      </c>
    </row>
    <row r="12">
      <c r="A12" t="inlineStr">
        <is>
          <t>FY2024</t>
        </is>
      </c>
      <c r="B12" t="n">
        <v>9586.4</v>
      </c>
      <c r="C12" t="n">
        <v>6520.3</v>
      </c>
      <c r="D12" t="n">
        <v>7497.1</v>
      </c>
      <c r="E12" t="n">
        <v>7723.8</v>
      </c>
    </row>
    <row r="13">
      <c r="A13" t="inlineStr">
        <is>
          <t>FY2025</t>
        </is>
      </c>
      <c r="B13" t="n">
        <v>11492.5</v>
      </c>
      <c r="C13" t="n">
        <v>7968.1</v>
      </c>
      <c r="D13" t="n">
        <v>9280.700000000001</v>
      </c>
      <c r="E13" t="n">
        <v>9406.200000000001</v>
      </c>
    </row>
    <row r="15">
      <c r="A15" s="3" t="inlineStr">
        <is>
          <t>注: FY2018は胆振東部地震の欠測480時間を含む。cは過去28日・同曜日区分の平均価格ランク（分解実験: analysis/16・19）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北海道: 風力変動の帯域分解の推移（分散シェア%、年度別・移動平均カスケード）</t>
        </is>
      </c>
    </row>
    <row r="3">
      <c r="A3" s="2" t="inlineStr">
        <is>
          <t>年度</t>
        </is>
      </c>
      <c r="B3" s="2" t="inlineStr">
        <is>
          <t>&lt;6時間</t>
        </is>
      </c>
      <c r="C3" s="2" t="inlineStr">
        <is>
          <t>6-24時間</t>
        </is>
      </c>
      <c r="D3" s="2" t="inlineStr">
        <is>
          <t>1-7日</t>
        </is>
      </c>
      <c r="E3" s="2" t="inlineStr">
        <is>
          <t>&gt;7日</t>
        </is>
      </c>
    </row>
    <row r="4">
      <c r="A4" t="inlineStr">
        <is>
          <t>FY2016</t>
        </is>
      </c>
      <c r="B4" t="n">
        <v>1.8</v>
      </c>
      <c r="C4" t="n">
        <v>8.300000000000001</v>
      </c>
      <c r="D4" t="n">
        <v>44.9</v>
      </c>
      <c r="E4" t="n">
        <v>28.6</v>
      </c>
    </row>
    <row r="5">
      <c r="A5" t="inlineStr">
        <is>
          <t>FY2017</t>
        </is>
      </c>
      <c r="B5" t="n">
        <v>1.8</v>
      </c>
      <c r="C5" t="n">
        <v>8.699999999999999</v>
      </c>
      <c r="D5" t="n">
        <v>43.4</v>
      </c>
      <c r="E5" t="n">
        <v>32.2</v>
      </c>
    </row>
    <row r="6">
      <c r="A6" t="inlineStr">
        <is>
          <t>FY2018</t>
        </is>
      </c>
      <c r="B6" t="n">
        <v>1.9</v>
      </c>
      <c r="C6" t="n">
        <v>8.300000000000001</v>
      </c>
      <c r="D6" t="n">
        <v>43.5</v>
      </c>
      <c r="E6" t="n">
        <v>27.2</v>
      </c>
    </row>
    <row r="7">
      <c r="A7" t="inlineStr">
        <is>
          <t>FY2019</t>
        </is>
      </c>
      <c r="B7" t="n">
        <v>1.7</v>
      </c>
      <c r="C7" t="n">
        <v>9.1</v>
      </c>
      <c r="D7" t="n">
        <v>41.3</v>
      </c>
      <c r="E7" t="n">
        <v>29.9</v>
      </c>
    </row>
    <row r="8">
      <c r="A8" t="inlineStr">
        <is>
          <t>FY2020</t>
        </is>
      </c>
      <c r="B8" t="n">
        <v>1.6</v>
      </c>
      <c r="C8" t="n">
        <v>8.699999999999999</v>
      </c>
      <c r="D8" t="n">
        <v>39.5</v>
      </c>
      <c r="E8" t="n">
        <v>33.2</v>
      </c>
    </row>
    <row r="9">
      <c r="A9" t="inlineStr">
        <is>
          <t>FY2021</t>
        </is>
      </c>
      <c r="B9" t="n">
        <v>1.5</v>
      </c>
      <c r="C9" t="n">
        <v>8.5</v>
      </c>
      <c r="D9" t="n">
        <v>44.6</v>
      </c>
      <c r="E9" t="n">
        <v>29.9</v>
      </c>
    </row>
    <row r="10">
      <c r="A10" t="inlineStr">
        <is>
          <t>FY2022</t>
        </is>
      </c>
      <c r="B10" t="n">
        <v>1.6</v>
      </c>
      <c r="C10" t="n">
        <v>9.800000000000001</v>
      </c>
      <c r="D10" t="n">
        <v>38.4</v>
      </c>
      <c r="E10" t="n">
        <v>31.2</v>
      </c>
    </row>
    <row r="11">
      <c r="A11" t="inlineStr">
        <is>
          <t>FY2023</t>
        </is>
      </c>
      <c r="B11" t="n">
        <v>1.5</v>
      </c>
      <c r="C11" t="n">
        <v>7</v>
      </c>
      <c r="D11" t="n">
        <v>39.1</v>
      </c>
      <c r="E11" t="n">
        <v>35.5</v>
      </c>
    </row>
    <row r="12">
      <c r="A12" t="inlineStr">
        <is>
          <t>FY2024</t>
        </is>
      </c>
      <c r="B12" t="n">
        <v>2.2</v>
      </c>
      <c r="C12" t="n">
        <v>10.4</v>
      </c>
      <c r="D12" t="n">
        <v>42.2</v>
      </c>
      <c r="E12" t="n">
        <v>25.7</v>
      </c>
    </row>
    <row r="13">
      <c r="A13" t="inlineStr">
        <is>
          <t>FY2025</t>
        </is>
      </c>
      <c r="B13" t="n">
        <v>2.1</v>
      </c>
      <c r="C13" t="n">
        <v>9.5</v>
      </c>
      <c r="D13" t="n">
        <v>42</v>
      </c>
      <c r="E13" t="n">
        <v>27.9</v>
      </c>
    </row>
    <row r="15">
      <c r="A15" s="3" t="inlineStr">
        <is>
          <t>注: 非直交分解（交差項あり、シェア合計≠100%）。各年度内で計算。風力＝フリート集約・制御後出力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30" customWidth="1" min="4" max="4"/>
    <col width="14" customWidth="1" min="5" max="5"/>
  </cols>
  <sheetData>
    <row r="1">
      <c r="A1" s="4" t="inlineStr">
        <is>
          <t>併設（BTM）蓄電池を対象に加える根拠 — 風力抑制の実績・価格内訳・回避価値試算</t>
        </is>
      </c>
    </row>
    <row r="3">
      <c r="A3" s="5" t="inlineStr">
        <is>
          <t>① 風力の出力制御実績</t>
        </is>
      </c>
    </row>
    <row r="4">
      <c r="A4" s="2" t="inlineStr">
        <is>
          <t>年度</t>
        </is>
      </c>
      <c r="B4" s="2" t="inlineStr">
        <is>
          <t>抑制率%</t>
        </is>
      </c>
      <c r="C4" s="2" t="inlineStr">
        <is>
          <t>抑制時間h</t>
        </is>
      </c>
    </row>
    <row r="5">
      <c r="A5" t="inlineStr">
        <is>
          <t>FY2022</t>
        </is>
      </c>
      <c r="B5" t="n">
        <v>0.01</v>
      </c>
      <c r="C5" t="n">
        <v>12</v>
      </c>
    </row>
    <row r="6">
      <c r="A6" t="inlineStr">
        <is>
          <t>FY2023</t>
        </is>
      </c>
      <c r="B6" t="n">
        <v>0</v>
      </c>
      <c r="C6" t="n">
        <v>0</v>
      </c>
    </row>
    <row r="7">
      <c r="A7" t="inlineStr">
        <is>
          <t>FY2024</t>
        </is>
      </c>
      <c r="B7" t="n">
        <v>0.04</v>
      </c>
      <c r="C7" t="n">
        <v>12</v>
      </c>
    </row>
    <row r="8">
      <c r="A8" t="inlineStr">
        <is>
          <t>FY2025</t>
        </is>
      </c>
      <c r="B8" t="n">
        <v>0.1</v>
      </c>
      <c r="C8" t="n">
        <v>109</v>
      </c>
    </row>
    <row r="9">
      <c r="A9" t="inlineStr">
        <is>
          <t>FY2026（4-6月のみ）</t>
        </is>
      </c>
      <c r="B9" t="n">
        <v>1.35</v>
      </c>
      <c r="C9" t="n">
        <v>235</v>
      </c>
    </row>
    <row r="11">
      <c r="A11" s="5" t="inlineStr">
        <is>
          <t>② 抑制発生時間のエリア価格内訳（5円超＝ローカル制約の示唆）</t>
        </is>
      </c>
    </row>
    <row r="12">
      <c r="A12" s="2" t="inlineStr">
        <is>
          <t>年度</t>
        </is>
      </c>
      <c r="B12" s="2" t="inlineStr">
        <is>
          <t>床(≤0.01円)%</t>
        </is>
      </c>
      <c r="C12" s="2" t="inlineStr">
        <is>
          <t>0.01〜5円%</t>
        </is>
      </c>
      <c r="D12" s="2" t="inlineStr">
        <is>
          <t>5円超%</t>
        </is>
      </c>
      <c r="E12" s="2" t="inlineStr">
        <is>
          <t>抑制時間h</t>
        </is>
      </c>
    </row>
    <row r="13">
      <c r="A13" t="inlineStr">
        <is>
          <t>FY2025</t>
        </is>
      </c>
      <c r="B13" t="n">
        <v>59.6</v>
      </c>
      <c r="C13" t="n">
        <v>27.5</v>
      </c>
      <c r="D13" t="n">
        <v>12.8</v>
      </c>
      <c r="E13" t="n">
        <v>109</v>
      </c>
    </row>
    <row r="14">
      <c r="A14" t="inlineStr">
        <is>
          <t>FY2026</t>
        </is>
      </c>
      <c r="B14" t="n">
        <v>68.5</v>
      </c>
      <c r="C14" t="n">
        <v>18.7</v>
      </c>
      <c r="D14" t="n">
        <v>12.8</v>
      </c>
      <c r="E14" t="n">
        <v>235</v>
      </c>
    </row>
    <row r="16">
      <c r="A16" s="5" t="inlineStr">
        <is>
          <t>③ 併設蓄電池の抑制回避価値の上限試算（cf26%・FIP14円/kWh・全量回収仮定）</t>
        </is>
      </c>
    </row>
    <row r="17">
      <c r="A17" s="2" t="inlineStr">
        <is>
          <t>抑制率シナリオ</t>
        </is>
      </c>
      <c r="B17" s="2" t="inlineStr">
        <is>
          <t>抑制電力量(kWh/kW風力-年)</t>
        </is>
      </c>
      <c r="C17" s="2" t="inlineStr">
        <is>
          <t>回避価値上限(円/kW風力-年)</t>
        </is>
      </c>
      <c r="D17" s="2" t="inlineStr">
        <is>
          <t>併設0.64kWh/kWあたり(円/kWh蓄電池-年)</t>
        </is>
      </c>
    </row>
    <row r="18">
      <c r="A18" t="inlineStr">
        <is>
          <t>現状（FY2026上期実測）</t>
        </is>
      </c>
      <c r="B18" t="n">
        <v>31</v>
      </c>
      <c r="C18" t="n">
        <v>430</v>
      </c>
      <c r="D18" t="n">
        <v>673</v>
      </c>
    </row>
    <row r="19">
      <c r="A19" t="inlineStr">
        <is>
          <t>3%（数年内の到達想定）</t>
        </is>
      </c>
      <c r="B19" t="n">
        <v>68</v>
      </c>
      <c r="C19" t="n">
        <v>957</v>
      </c>
      <c r="D19" t="n">
        <v>1495</v>
      </c>
    </row>
    <row r="20">
      <c r="A20" t="inlineStr">
        <is>
          <t>5%</t>
        </is>
      </c>
      <c r="B20" t="n">
        <v>114</v>
      </c>
      <c r="C20" t="n">
        <v>1594</v>
      </c>
      <c r="D20" t="n">
        <v>2491</v>
      </c>
    </row>
    <row r="21">
      <c r="A21" t="inlineStr">
        <is>
          <t>8%（九州太陽光FY2023実績並み）</t>
        </is>
      </c>
      <c r="B21" t="n">
        <v>182</v>
      </c>
      <c r="C21" t="n">
        <v>2551</v>
      </c>
      <c r="D21" t="n">
        <v>3986</v>
      </c>
    </row>
    <row r="23">
      <c r="A23" s="3" t="inlineStr">
        <is>
          <t>注: 回避価値は「蓄電池が抑制分を全量吸収できる」場合の上限。実際は容量制約（系統WG併設前提: 風力1kWあたり0.64kWh）で長時間イベントを取り切れない。5円超の抑制はエリア価格に映らないローカル価値のため、エリア価格ベースのπ_spotはBTM価値を過小評価する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帯域分解の比較: 北海道風力 vs 九州太陽光（制御前出力、移動平均カスケード）</t>
        </is>
      </c>
    </row>
    <row r="3">
      <c r="A3" s="5" t="inlineStr">
        <is>
          <t>① 静的比較（FY2022-25プール、分散シェア%）</t>
        </is>
      </c>
    </row>
    <row r="4">
      <c r="A4" s="2" t="inlineStr">
        <is>
          <t>帯域</t>
        </is>
      </c>
      <c r="B4" s="2" t="inlineStr">
        <is>
          <t>北海道 風力</t>
        </is>
      </c>
      <c r="C4" s="2" t="inlineStr">
        <is>
          <t>九州 太陽光</t>
        </is>
      </c>
      <c r="D4" s="2" t="inlineStr">
        <is>
          <t>九州 風力</t>
        </is>
      </c>
      <c r="E4" s="2" t="inlineStr">
        <is>
          <t>北海道 太陽光</t>
        </is>
      </c>
    </row>
    <row r="5">
      <c r="A5" t="inlineStr">
        <is>
          <t>&lt;6時間</t>
        </is>
      </c>
      <c r="B5" t="n">
        <v>1.7</v>
      </c>
      <c r="C5" t="n">
        <v>6.2</v>
      </c>
      <c r="D5" t="n">
        <v>1.8</v>
      </c>
      <c r="E5" t="n">
        <v>6</v>
      </c>
    </row>
    <row r="6">
      <c r="A6" t="inlineStr">
        <is>
          <t>6-24時間</t>
        </is>
      </c>
      <c r="B6" t="n">
        <v>7.9</v>
      </c>
      <c r="C6" t="n">
        <v>65.40000000000001</v>
      </c>
      <c r="D6" t="n">
        <v>7.9</v>
      </c>
      <c r="E6" t="n">
        <v>65.40000000000001</v>
      </c>
    </row>
    <row r="7">
      <c r="A7" t="inlineStr">
        <is>
          <t>1-7日</t>
        </is>
      </c>
      <c r="B7" t="n">
        <v>35.7</v>
      </c>
      <c r="C7" t="n">
        <v>4.7</v>
      </c>
      <c r="D7" t="n">
        <v>44</v>
      </c>
      <c r="E7" t="n">
        <v>4.2</v>
      </c>
    </row>
    <row r="8">
      <c r="A8" t="inlineStr">
        <is>
          <t>&gt;7日</t>
        </is>
      </c>
      <c r="B8" t="n">
        <v>38.6</v>
      </c>
      <c r="C8" t="n">
        <v>3.2</v>
      </c>
      <c r="D8" t="n">
        <v>27.7</v>
      </c>
      <c r="E8" t="n">
        <v>4.7</v>
      </c>
    </row>
    <row r="11">
      <c r="A11" s="5" t="inlineStr">
        <is>
          <t>② 九州太陽光の年度別時系列（分散シェア%）</t>
        </is>
      </c>
    </row>
    <row r="12">
      <c r="A12" s="2" t="inlineStr">
        <is>
          <t>年度</t>
        </is>
      </c>
      <c r="B12" s="2" t="inlineStr">
        <is>
          <t>&lt;6時間</t>
        </is>
      </c>
      <c r="C12" s="2" t="inlineStr">
        <is>
          <t>6-24時間</t>
        </is>
      </c>
      <c r="D12" s="2" t="inlineStr">
        <is>
          <t>1-7日</t>
        </is>
      </c>
      <c r="E12" s="2" t="inlineStr">
        <is>
          <t>&gt;7日</t>
        </is>
      </c>
    </row>
    <row r="13">
      <c r="A13" t="inlineStr">
        <is>
          <t>2016</t>
        </is>
      </c>
      <c r="B13" t="n">
        <v>6.5</v>
      </c>
      <c r="C13" t="n">
        <v>63.5</v>
      </c>
      <c r="D13" t="n">
        <v>5.9</v>
      </c>
      <c r="E13" t="n">
        <v>3</v>
      </c>
    </row>
    <row r="14">
      <c r="A14" t="inlineStr">
        <is>
          <t>2017</t>
        </is>
      </c>
      <c r="B14" t="n">
        <v>6.1</v>
      </c>
      <c r="C14" t="n">
        <v>64.40000000000001</v>
      </c>
      <c r="D14" t="n">
        <v>5.7</v>
      </c>
      <c r="E14" t="n">
        <v>3.8</v>
      </c>
    </row>
    <row r="15">
      <c r="A15" t="inlineStr">
        <is>
          <t>2018</t>
        </is>
      </c>
      <c r="B15" t="n">
        <v>6</v>
      </c>
      <c r="C15" t="n">
        <v>64.7</v>
      </c>
      <c r="D15" t="n">
        <v>5.9</v>
      </c>
      <c r="E15" t="n">
        <v>3.2</v>
      </c>
    </row>
    <row r="16">
      <c r="A16" t="inlineStr">
        <is>
          <t>2019</t>
        </is>
      </c>
      <c r="B16" t="n">
        <v>6</v>
      </c>
      <c r="C16" t="n">
        <v>64.5</v>
      </c>
      <c r="D16" t="n">
        <v>5.6</v>
      </c>
      <c r="E16" t="n">
        <v>3.8</v>
      </c>
    </row>
    <row r="17">
      <c r="A17" t="inlineStr">
        <is>
          <t>2020</t>
        </is>
      </c>
      <c r="B17" t="n">
        <v>6.2</v>
      </c>
      <c r="C17" t="n">
        <v>65.59999999999999</v>
      </c>
      <c r="D17" t="n">
        <v>4.8</v>
      </c>
      <c r="E17" t="n">
        <v>3</v>
      </c>
    </row>
    <row r="18">
      <c r="A18" t="inlineStr">
        <is>
          <t>2021</t>
        </is>
      </c>
      <c r="B18" t="n">
        <v>6.3</v>
      </c>
      <c r="C18" t="n">
        <v>65.59999999999999</v>
      </c>
      <c r="D18" t="n">
        <v>4.4</v>
      </c>
      <c r="E18" t="n">
        <v>3.2</v>
      </c>
    </row>
    <row r="19">
      <c r="A19" t="inlineStr">
        <is>
          <t>2022</t>
        </is>
      </c>
      <c r="B19" t="n">
        <v>6.1</v>
      </c>
      <c r="C19" t="n">
        <v>65.8</v>
      </c>
      <c r="D19" t="n">
        <v>4.6</v>
      </c>
      <c r="E19" t="n">
        <v>3.1</v>
      </c>
    </row>
    <row r="20">
      <c r="A20" t="inlineStr">
        <is>
          <t>2023</t>
        </is>
      </c>
      <c r="B20" t="n">
        <v>6.2</v>
      </c>
      <c r="C20" t="n">
        <v>65</v>
      </c>
      <c r="D20" t="n">
        <v>6</v>
      </c>
      <c r="E20" t="n">
        <v>2.8</v>
      </c>
    </row>
    <row r="21">
      <c r="A21" t="inlineStr">
        <is>
          <t>2024</t>
        </is>
      </c>
      <c r="B21" t="n">
        <v>6.2</v>
      </c>
      <c r="C21" t="n">
        <v>65.3</v>
      </c>
      <c r="D21" t="n">
        <v>4.3</v>
      </c>
      <c r="E21" t="n">
        <v>3.9</v>
      </c>
    </row>
    <row r="22">
      <c r="A22" t="inlineStr">
        <is>
          <t>2025</t>
        </is>
      </c>
      <c r="B22" t="n">
        <v>6.3</v>
      </c>
      <c r="C22" t="n">
        <v>66</v>
      </c>
      <c r="D22" t="n">
        <v>4.2</v>
      </c>
      <c r="E22" t="n">
        <v>2.8</v>
      </c>
    </row>
    <row r="24">
      <c r="A24" s="3" t="inlineStr">
        <is>
          <t>注: いずれも制御前出力（出力+抑制量）。非直交分解のためシェア合計≠100%。①の参考列: 九州風力・北海道太陽光</t>
        </is>
      </c>
    </row>
    <row r="25">
      <c r="A25" s="5" t="inlineStr">
        <is>
          <t>③ 北海道太陽光の年度別時系列（分散シェア%）</t>
        </is>
      </c>
    </row>
    <row r="26">
      <c r="A26" s="2" t="inlineStr">
        <is>
          <t>年度</t>
        </is>
      </c>
      <c r="B26" s="2" t="inlineStr">
        <is>
          <t>&lt;6時間</t>
        </is>
      </c>
      <c r="C26" s="2" t="inlineStr">
        <is>
          <t>6-24時間</t>
        </is>
      </c>
      <c r="D26" s="2" t="inlineStr">
        <is>
          <t>1-7日</t>
        </is>
      </c>
      <c r="E26" s="2" t="inlineStr">
        <is>
          <t>&gt;7日</t>
        </is>
      </c>
    </row>
    <row r="27">
      <c r="A27" t="inlineStr">
        <is>
          <t>2016</t>
        </is>
      </c>
      <c r="B27" t="n">
        <v>6.3</v>
      </c>
      <c r="C27" t="n">
        <v>66</v>
      </c>
      <c r="D27" t="n">
        <v>4.1</v>
      </c>
      <c r="E27" t="n">
        <v>4.2</v>
      </c>
    </row>
    <row r="28">
      <c r="A28" t="inlineStr">
        <is>
          <t>2017</t>
        </is>
      </c>
      <c r="B28" t="n">
        <v>6.4</v>
      </c>
      <c r="C28" t="n">
        <v>64.3</v>
      </c>
      <c r="D28" t="n">
        <v>4.8</v>
      </c>
      <c r="E28" t="n">
        <v>4.9</v>
      </c>
    </row>
    <row r="29">
      <c r="A29" t="inlineStr">
        <is>
          <t>2018</t>
        </is>
      </c>
      <c r="B29" t="n">
        <v>6.4</v>
      </c>
      <c r="C29" t="n">
        <v>64.09999999999999</v>
      </c>
      <c r="D29" t="n">
        <v>4.5</v>
      </c>
      <c r="E29" t="n">
        <v>4.7</v>
      </c>
    </row>
    <row r="30">
      <c r="A30" t="inlineStr">
        <is>
          <t>2019</t>
        </is>
      </c>
      <c r="B30" t="n">
        <v>6.3</v>
      </c>
      <c r="C30" t="n">
        <v>64.59999999999999</v>
      </c>
      <c r="D30" t="n">
        <v>4.5</v>
      </c>
      <c r="E30" t="n">
        <v>5</v>
      </c>
    </row>
    <row r="31">
      <c r="A31" t="inlineStr">
        <is>
          <t>2020</t>
        </is>
      </c>
      <c r="B31" t="n">
        <v>6.6</v>
      </c>
      <c r="C31" t="n">
        <v>65.7</v>
      </c>
      <c r="D31" t="n">
        <v>3.6</v>
      </c>
      <c r="E31" t="n">
        <v>4</v>
      </c>
    </row>
    <row r="32">
      <c r="A32" t="inlineStr">
        <is>
          <t>2021</t>
        </is>
      </c>
      <c r="B32" t="n">
        <v>5.8</v>
      </c>
      <c r="C32" t="n">
        <v>64.5</v>
      </c>
      <c r="D32" t="n">
        <v>4.5</v>
      </c>
      <c r="E32" t="n">
        <v>6.3</v>
      </c>
    </row>
    <row r="33">
      <c r="A33" t="inlineStr">
        <is>
          <t>2022</t>
        </is>
      </c>
      <c r="B33" t="n">
        <v>6.1</v>
      </c>
      <c r="C33" t="n">
        <v>65.40000000000001</v>
      </c>
      <c r="D33" t="n">
        <v>4.2</v>
      </c>
      <c r="E33" t="n">
        <v>4.9</v>
      </c>
    </row>
    <row r="34">
      <c r="A34" t="inlineStr">
        <is>
          <t>2023</t>
        </is>
      </c>
      <c r="B34" t="n">
        <v>6.1</v>
      </c>
      <c r="C34" t="n">
        <v>65.8</v>
      </c>
      <c r="D34" t="n">
        <v>3.9</v>
      </c>
      <c r="E34" t="n">
        <v>4.4</v>
      </c>
    </row>
    <row r="35">
      <c r="A35" t="inlineStr">
        <is>
          <t>2024</t>
        </is>
      </c>
      <c r="B35" t="n">
        <v>6.1</v>
      </c>
      <c r="C35" t="n">
        <v>65.90000000000001</v>
      </c>
      <c r="D35" t="n">
        <v>4.4</v>
      </c>
      <c r="E35" t="n">
        <v>3.9</v>
      </c>
    </row>
    <row r="36">
      <c r="A36" t="inlineStr">
        <is>
          <t>2025</t>
        </is>
      </c>
      <c r="B36" t="n">
        <v>5.9</v>
      </c>
      <c r="C36" t="n">
        <v>65.40000000000001</v>
      </c>
      <c r="D36" t="n">
        <v>4.5</v>
      </c>
      <c r="E36" t="n">
        <v>4.6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不需要期（3-6・10-11月）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11.76</v>
      </c>
      <c r="C5" t="n">
        <v>11.78</v>
      </c>
      <c r="D5" t="n">
        <v>0</v>
      </c>
      <c r="E5" t="n">
        <v>11.65</v>
      </c>
      <c r="F5" t="n">
        <v>11.26</v>
      </c>
      <c r="G5" t="n">
        <v>0</v>
      </c>
      <c r="H5" t="n">
        <v>11.72</v>
      </c>
      <c r="I5" t="n">
        <v>11.85</v>
      </c>
    </row>
    <row r="6">
      <c r="A6" t="n">
        <v>1</v>
      </c>
      <c r="B6" t="n">
        <v>10.69</v>
      </c>
      <c r="C6" t="n">
        <v>10.96</v>
      </c>
      <c r="D6" t="n">
        <v>1</v>
      </c>
      <c r="E6" t="n">
        <v>11.48</v>
      </c>
      <c r="F6" t="n">
        <v>11.19</v>
      </c>
      <c r="G6" t="n">
        <v>1</v>
      </c>
      <c r="H6" t="n">
        <v>11.34</v>
      </c>
      <c r="I6" t="n">
        <v>11.57</v>
      </c>
    </row>
    <row r="7">
      <c r="A7" t="n">
        <v>2</v>
      </c>
      <c r="B7" t="n">
        <v>10.77</v>
      </c>
      <c r="C7" t="n">
        <v>11.15</v>
      </c>
      <c r="D7" t="n">
        <v>2</v>
      </c>
      <c r="E7" t="n">
        <v>11.63</v>
      </c>
      <c r="F7" t="n">
        <v>11.32</v>
      </c>
      <c r="G7" t="n">
        <v>2</v>
      </c>
      <c r="H7" t="n">
        <v>11.52</v>
      </c>
      <c r="I7" t="n">
        <v>11.79</v>
      </c>
    </row>
    <row r="8">
      <c r="A8" t="n">
        <v>3</v>
      </c>
      <c r="B8" t="n">
        <v>11.21</v>
      </c>
      <c r="C8" t="n">
        <v>11.42</v>
      </c>
      <c r="D8" t="n">
        <v>3</v>
      </c>
      <c r="E8" t="n">
        <v>11.83</v>
      </c>
      <c r="F8" t="n">
        <v>11.3</v>
      </c>
      <c r="G8" t="n">
        <v>3</v>
      </c>
      <c r="H8" t="n">
        <v>11.82</v>
      </c>
      <c r="I8" t="n">
        <v>12.07</v>
      </c>
    </row>
    <row r="9">
      <c r="A9" t="n">
        <v>4</v>
      </c>
      <c r="B9" t="n">
        <v>11.44</v>
      </c>
      <c r="C9" t="n">
        <v>11.61</v>
      </c>
      <c r="D9" t="n">
        <v>4</v>
      </c>
      <c r="E9" t="n">
        <v>12.01</v>
      </c>
      <c r="F9" t="n">
        <v>11.35</v>
      </c>
      <c r="G9" t="n">
        <v>4</v>
      </c>
      <c r="H9" t="n">
        <v>12.01</v>
      </c>
      <c r="I9" t="n">
        <v>12.22</v>
      </c>
    </row>
    <row r="10">
      <c r="A10" t="n">
        <v>5</v>
      </c>
      <c r="B10" t="n">
        <v>10.52</v>
      </c>
      <c r="C10" t="n">
        <v>11.15</v>
      </c>
      <c r="D10" t="n">
        <v>5</v>
      </c>
      <c r="E10" t="n">
        <v>12.15</v>
      </c>
      <c r="F10" t="n">
        <v>11.48</v>
      </c>
      <c r="G10" t="n">
        <v>5</v>
      </c>
      <c r="H10" t="n">
        <v>11.7</v>
      </c>
      <c r="I10" t="n">
        <v>12.4</v>
      </c>
    </row>
    <row r="11">
      <c r="A11" t="n">
        <v>6</v>
      </c>
      <c r="B11" t="n">
        <v>9.779999999999999</v>
      </c>
      <c r="C11" t="n">
        <v>10.57</v>
      </c>
      <c r="D11" t="n">
        <v>6</v>
      </c>
      <c r="E11" t="n">
        <v>13.45</v>
      </c>
      <c r="F11" t="n">
        <v>12.55</v>
      </c>
      <c r="G11" t="n">
        <v>6</v>
      </c>
      <c r="H11" t="n">
        <v>10.3</v>
      </c>
      <c r="I11" t="n">
        <v>12.74</v>
      </c>
    </row>
    <row r="12">
      <c r="A12" t="n">
        <v>7</v>
      </c>
      <c r="B12" t="n">
        <v>8.59</v>
      </c>
      <c r="C12" t="n">
        <v>10.43</v>
      </c>
      <c r="D12" t="n">
        <v>7</v>
      </c>
      <c r="E12" t="n">
        <v>13.38</v>
      </c>
      <c r="F12" t="n">
        <v>12.78</v>
      </c>
      <c r="G12" t="n">
        <v>7</v>
      </c>
      <c r="H12" t="n">
        <v>7.67</v>
      </c>
      <c r="I12" t="n">
        <v>11.66</v>
      </c>
    </row>
    <row r="13">
      <c r="A13" t="n">
        <v>8</v>
      </c>
      <c r="B13" t="n">
        <v>9.18</v>
      </c>
      <c r="C13" t="n">
        <v>11.14</v>
      </c>
      <c r="D13" t="n">
        <v>8</v>
      </c>
      <c r="E13" t="n">
        <v>12.59</v>
      </c>
      <c r="F13" t="n">
        <v>12.75</v>
      </c>
      <c r="G13" t="n">
        <v>8</v>
      </c>
      <c r="H13" t="n">
        <v>6.41</v>
      </c>
      <c r="I13" t="n">
        <v>11.03</v>
      </c>
    </row>
    <row r="14">
      <c r="A14" t="n">
        <v>9</v>
      </c>
      <c r="B14" t="n">
        <v>8.58</v>
      </c>
      <c r="C14" t="n">
        <v>11.41</v>
      </c>
      <c r="D14" t="n">
        <v>9</v>
      </c>
      <c r="E14" t="n">
        <v>11.26</v>
      </c>
      <c r="F14" t="n">
        <v>12.23</v>
      </c>
      <c r="G14" t="n">
        <v>9</v>
      </c>
      <c r="H14" t="n">
        <v>5.28</v>
      </c>
      <c r="I14" t="n">
        <v>10.51</v>
      </c>
    </row>
    <row r="15">
      <c r="A15" t="n">
        <v>10</v>
      </c>
      <c r="B15" t="n">
        <v>7.56</v>
      </c>
      <c r="C15" t="n">
        <v>10.35</v>
      </c>
      <c r="D15" t="n">
        <v>10</v>
      </c>
      <c r="E15" t="n">
        <v>9.6</v>
      </c>
      <c r="F15" t="n">
        <v>11</v>
      </c>
      <c r="G15" t="n">
        <v>10</v>
      </c>
      <c r="H15" t="n">
        <v>4.06</v>
      </c>
      <c r="I15" t="n">
        <v>9.210000000000001</v>
      </c>
    </row>
    <row r="16">
      <c r="A16" t="n">
        <v>11</v>
      </c>
      <c r="B16" t="n">
        <v>7.68</v>
      </c>
      <c r="C16" t="n">
        <v>10.66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3.81</v>
      </c>
      <c r="I16" t="n">
        <v>8.869999999999999</v>
      </c>
    </row>
    <row r="17">
      <c r="A17" t="n">
        <v>12</v>
      </c>
      <c r="B17" t="n">
        <v>7.21</v>
      </c>
      <c r="C17" t="n">
        <v>9.67</v>
      </c>
      <c r="D17" t="n">
        <v>12</v>
      </c>
      <c r="E17" t="n">
        <v>7.83</v>
      </c>
      <c r="F17" t="n">
        <v>9.33</v>
      </c>
      <c r="G17" t="n">
        <v>12</v>
      </c>
      <c r="H17" t="n">
        <v>3.33</v>
      </c>
      <c r="I17" t="n">
        <v>7.78</v>
      </c>
    </row>
    <row r="18">
      <c r="A18" t="n">
        <v>13</v>
      </c>
      <c r="B18" t="n">
        <v>9.789999999999999</v>
      </c>
      <c r="C18" t="n">
        <v>12.14</v>
      </c>
      <c r="D18" t="n">
        <v>13</v>
      </c>
      <c r="E18" t="n">
        <v>8.98</v>
      </c>
      <c r="F18" t="n">
        <v>11.17</v>
      </c>
      <c r="G18" t="n">
        <v>13</v>
      </c>
      <c r="H18" t="n">
        <v>5.14</v>
      </c>
      <c r="I18" t="n">
        <v>9.77</v>
      </c>
    </row>
    <row r="19">
      <c r="A19" t="n">
        <v>14</v>
      </c>
      <c r="B19" t="n">
        <v>11.26</v>
      </c>
      <c r="C19" t="n">
        <v>13.52</v>
      </c>
      <c r="D19" t="n">
        <v>14</v>
      </c>
      <c r="E19" t="n">
        <v>10.18</v>
      </c>
      <c r="F19" t="n">
        <v>11.31</v>
      </c>
      <c r="G19" t="n">
        <v>14</v>
      </c>
      <c r="H19" t="n">
        <v>6.75</v>
      </c>
      <c r="I19" t="n">
        <v>11.24</v>
      </c>
    </row>
    <row r="20">
      <c r="A20" t="n">
        <v>15</v>
      </c>
      <c r="B20" t="n">
        <v>13.79</v>
      </c>
      <c r="C20" t="n">
        <v>14.82</v>
      </c>
      <c r="D20" t="n">
        <v>15</v>
      </c>
      <c r="E20" t="n">
        <v>11.97</v>
      </c>
      <c r="F20" t="n">
        <v>12.69</v>
      </c>
      <c r="G20" t="n">
        <v>15</v>
      </c>
      <c r="H20" t="n">
        <v>9.300000000000001</v>
      </c>
      <c r="I20" t="n">
        <v>12.94</v>
      </c>
    </row>
    <row r="21">
      <c r="A21" t="n">
        <v>16</v>
      </c>
      <c r="B21" t="n">
        <v>16.76</v>
      </c>
      <c r="C21" t="n">
        <v>17.48</v>
      </c>
      <c r="D21" t="n">
        <v>16</v>
      </c>
      <c r="E21" t="n">
        <v>13.59</v>
      </c>
      <c r="F21" t="n">
        <v>13.57</v>
      </c>
      <c r="G21" t="n">
        <v>16</v>
      </c>
      <c r="H21" t="n">
        <v>12.52</v>
      </c>
      <c r="I21" t="n">
        <v>15.41</v>
      </c>
    </row>
    <row r="22">
      <c r="A22" t="n">
        <v>17</v>
      </c>
      <c r="B22" t="n">
        <v>18.11</v>
      </c>
      <c r="C22" t="n">
        <v>18.35</v>
      </c>
      <c r="D22" t="n">
        <v>17</v>
      </c>
      <c r="E22" t="n">
        <v>14.86</v>
      </c>
      <c r="F22" t="n">
        <v>14.09</v>
      </c>
      <c r="G22" t="n">
        <v>17</v>
      </c>
      <c r="H22" t="n">
        <v>14.42</v>
      </c>
      <c r="I22" t="n">
        <v>16.11</v>
      </c>
    </row>
    <row r="23">
      <c r="A23" t="n">
        <v>18</v>
      </c>
      <c r="B23" t="n">
        <v>19.74</v>
      </c>
      <c r="C23" t="n">
        <v>19</v>
      </c>
      <c r="D23" t="n">
        <v>18</v>
      </c>
      <c r="E23" t="n">
        <v>14.8</v>
      </c>
      <c r="F23" t="n">
        <v>13.88</v>
      </c>
      <c r="G23" t="n">
        <v>18</v>
      </c>
      <c r="H23" t="n">
        <v>15.55</v>
      </c>
      <c r="I23" t="n">
        <v>15.96</v>
      </c>
    </row>
    <row r="24">
      <c r="A24" t="n">
        <v>19</v>
      </c>
      <c r="B24" t="n">
        <v>18.6</v>
      </c>
      <c r="C24" t="n">
        <v>18.55</v>
      </c>
      <c r="D24" t="n">
        <v>19</v>
      </c>
      <c r="E24" t="n">
        <v>14.12</v>
      </c>
      <c r="F24" t="n">
        <v>13.31</v>
      </c>
      <c r="G24" t="n">
        <v>19</v>
      </c>
      <c r="H24" t="n">
        <v>15.35</v>
      </c>
      <c r="I24" t="n">
        <v>15.42</v>
      </c>
    </row>
    <row r="25">
      <c r="A25" t="n">
        <v>20</v>
      </c>
      <c r="B25" t="n">
        <v>17.32</v>
      </c>
      <c r="C25" t="n">
        <v>16.51</v>
      </c>
      <c r="D25" t="n">
        <v>20</v>
      </c>
      <c r="E25" t="n">
        <v>13.64</v>
      </c>
      <c r="F25" t="n">
        <v>13.03</v>
      </c>
      <c r="G25" t="n">
        <v>20</v>
      </c>
      <c r="H25" t="n">
        <v>14.14</v>
      </c>
      <c r="I25" t="n">
        <v>14.5</v>
      </c>
    </row>
    <row r="26">
      <c r="A26" t="n">
        <v>21</v>
      </c>
      <c r="B26" t="n">
        <v>14.7</v>
      </c>
      <c r="C26" t="n">
        <v>15.05</v>
      </c>
      <c r="D26" t="n">
        <v>21</v>
      </c>
      <c r="E26" t="n">
        <v>13.01</v>
      </c>
      <c r="F26" t="n">
        <v>12.28</v>
      </c>
      <c r="G26" t="n">
        <v>21</v>
      </c>
      <c r="H26" t="n">
        <v>13.02</v>
      </c>
      <c r="I26" t="n">
        <v>13.3</v>
      </c>
    </row>
    <row r="27">
      <c r="A27" t="n">
        <v>22</v>
      </c>
      <c r="B27" t="n">
        <v>13.57</v>
      </c>
      <c r="C27" t="n">
        <v>13.33</v>
      </c>
      <c r="D27" t="n">
        <v>22</v>
      </c>
      <c r="E27" t="n">
        <v>12.06</v>
      </c>
      <c r="F27" t="n">
        <v>11.22</v>
      </c>
      <c r="G27" t="n">
        <v>22</v>
      </c>
      <c r="H27" t="n">
        <v>12.36</v>
      </c>
      <c r="I27" t="n">
        <v>12.71</v>
      </c>
    </row>
    <row r="28">
      <c r="A28" t="n">
        <v>23</v>
      </c>
      <c r="B28" t="n">
        <v>12.48</v>
      </c>
      <c r="C28" t="n">
        <v>12.1</v>
      </c>
      <c r="D28" t="n">
        <v>23</v>
      </c>
      <c r="E28" t="n">
        <v>11.73</v>
      </c>
      <c r="F28" t="n">
        <v>11.21</v>
      </c>
      <c r="G28" t="n">
        <v>23</v>
      </c>
      <c r="H28" t="n">
        <v>11.81</v>
      </c>
      <c r="I28" t="n">
        <v>12.18</v>
      </c>
    </row>
    <row r="29">
      <c r="A29" s="3" t="inlineStr">
        <is>
          <t>注: 太陽光大/小＝各季節内で日次太陽光発電量（出力制御前）の上位/下位1/3の日（日数: 需要期・夏 62日:62日 / 需要期・冬 91日:91日 / 不需要期 183日:183日）。60分平均価格の時刻別平均。季節定義は月で編集可能（analysis/15）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風力大/小の日の時間帯別価格カーブ（3季節、FY2023-25、円/kWh）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不需要期（3-6・10-11月）</t>
        </is>
      </c>
    </row>
    <row r="4">
      <c r="A4" s="2" t="inlineStr">
        <is>
          <t>時刻</t>
        </is>
      </c>
      <c r="B4" s="2" t="inlineStr">
        <is>
          <t>風力大</t>
        </is>
      </c>
      <c r="C4" s="2" t="inlineStr">
        <is>
          <t>風力小</t>
        </is>
      </c>
      <c r="D4" s="2" t="inlineStr">
        <is>
          <t>時刻</t>
        </is>
      </c>
      <c r="E4" s="2" t="inlineStr">
        <is>
          <t>風力大</t>
        </is>
      </c>
      <c r="F4" s="2" t="inlineStr">
        <is>
          <t>風力小</t>
        </is>
      </c>
      <c r="G4" s="2" t="inlineStr">
        <is>
          <t>時刻</t>
        </is>
      </c>
      <c r="H4" s="2" t="inlineStr">
        <is>
          <t>風力大</t>
        </is>
      </c>
      <c r="I4" s="2" t="inlineStr">
        <is>
          <t>風力小</t>
        </is>
      </c>
    </row>
    <row r="5">
      <c r="A5" t="n">
        <v>0</v>
      </c>
      <c r="B5" t="n">
        <v>11.31</v>
      </c>
      <c r="C5" t="n">
        <v>12.33</v>
      </c>
      <c r="D5" t="n">
        <v>0</v>
      </c>
      <c r="E5" t="n">
        <v>10.92</v>
      </c>
      <c r="F5" t="n">
        <v>12.45</v>
      </c>
      <c r="G5" t="n">
        <v>0</v>
      </c>
      <c r="H5" t="n">
        <v>11.24</v>
      </c>
      <c r="I5" t="n">
        <v>12.56</v>
      </c>
    </row>
    <row r="6">
      <c r="A6" t="n">
        <v>1</v>
      </c>
      <c r="B6" t="n">
        <v>10.5</v>
      </c>
      <c r="C6" t="n">
        <v>11.34</v>
      </c>
      <c r="D6" t="n">
        <v>1</v>
      </c>
      <c r="E6" t="n">
        <v>10.73</v>
      </c>
      <c r="F6" t="n">
        <v>12.27</v>
      </c>
      <c r="G6" t="n">
        <v>1</v>
      </c>
      <c r="H6" t="n">
        <v>10.98</v>
      </c>
      <c r="I6" t="n">
        <v>12.12</v>
      </c>
    </row>
    <row r="7">
      <c r="A7" t="n">
        <v>2</v>
      </c>
      <c r="B7" t="n">
        <v>10.68</v>
      </c>
      <c r="C7" t="n">
        <v>11.37</v>
      </c>
      <c r="D7" t="n">
        <v>2</v>
      </c>
      <c r="E7" t="n">
        <v>10.85</v>
      </c>
      <c r="F7" t="n">
        <v>12.34</v>
      </c>
      <c r="G7" t="n">
        <v>2</v>
      </c>
      <c r="H7" t="n">
        <v>11.19</v>
      </c>
      <c r="I7" t="n">
        <v>12.35</v>
      </c>
    </row>
    <row r="8">
      <c r="A8" t="n">
        <v>3</v>
      </c>
      <c r="B8" t="n">
        <v>11.04</v>
      </c>
      <c r="C8" t="n">
        <v>11.84</v>
      </c>
      <c r="D8" t="n">
        <v>3</v>
      </c>
      <c r="E8" t="n">
        <v>10.91</v>
      </c>
      <c r="F8" t="n">
        <v>12.5</v>
      </c>
      <c r="G8" t="n">
        <v>3</v>
      </c>
      <c r="H8" t="n">
        <v>11.5</v>
      </c>
      <c r="I8" t="n">
        <v>12.75</v>
      </c>
    </row>
    <row r="9">
      <c r="A9" t="n">
        <v>4</v>
      </c>
      <c r="B9" t="n">
        <v>11.05</v>
      </c>
      <c r="C9" t="n">
        <v>12.1</v>
      </c>
      <c r="D9" t="n">
        <v>4</v>
      </c>
      <c r="E9" t="n">
        <v>11</v>
      </c>
      <c r="F9" t="n">
        <v>12.75</v>
      </c>
      <c r="G9" t="n">
        <v>4</v>
      </c>
      <c r="H9" t="n">
        <v>11.62</v>
      </c>
      <c r="I9" t="n">
        <v>13.03</v>
      </c>
    </row>
    <row r="10">
      <c r="A10" t="n">
        <v>5</v>
      </c>
      <c r="B10" t="n">
        <v>10.31</v>
      </c>
      <c r="C10" t="n">
        <v>11.41</v>
      </c>
      <c r="D10" t="n">
        <v>5</v>
      </c>
      <c r="E10" t="n">
        <v>11.43</v>
      </c>
      <c r="F10" t="n">
        <v>12.91</v>
      </c>
      <c r="G10" t="n">
        <v>5</v>
      </c>
      <c r="H10" t="n">
        <v>11.67</v>
      </c>
      <c r="I10" t="n">
        <v>13.09</v>
      </c>
    </row>
    <row r="11">
      <c r="A11" t="n">
        <v>6</v>
      </c>
      <c r="B11" t="n">
        <v>9.619999999999999</v>
      </c>
      <c r="C11" t="n">
        <v>10.83</v>
      </c>
      <c r="D11" t="n">
        <v>6</v>
      </c>
      <c r="E11" t="n">
        <v>12.42</v>
      </c>
      <c r="F11" t="n">
        <v>14.28</v>
      </c>
      <c r="G11" t="n">
        <v>6</v>
      </c>
      <c r="H11" t="n">
        <v>11.31</v>
      </c>
      <c r="I11" t="n">
        <v>12.5</v>
      </c>
    </row>
    <row r="12">
      <c r="A12" t="n">
        <v>7</v>
      </c>
      <c r="B12" t="n">
        <v>8.98</v>
      </c>
      <c r="C12" t="n">
        <v>10.01</v>
      </c>
      <c r="D12" t="n">
        <v>7</v>
      </c>
      <c r="E12" t="n">
        <v>12.53</v>
      </c>
      <c r="F12" t="n">
        <v>14.25</v>
      </c>
      <c r="G12" t="n">
        <v>7</v>
      </c>
      <c r="H12" t="n">
        <v>9.109999999999999</v>
      </c>
      <c r="I12" t="n">
        <v>10.46</v>
      </c>
    </row>
    <row r="13">
      <c r="A13" t="n">
        <v>8</v>
      </c>
      <c r="B13" t="n">
        <v>9.699999999999999</v>
      </c>
      <c r="C13" t="n">
        <v>10.59</v>
      </c>
      <c r="D13" t="n">
        <v>8</v>
      </c>
      <c r="E13" t="n">
        <v>11.92</v>
      </c>
      <c r="F13" t="n">
        <v>13.61</v>
      </c>
      <c r="G13" t="n">
        <v>8</v>
      </c>
      <c r="H13" t="n">
        <v>8.06</v>
      </c>
      <c r="I13" t="n">
        <v>9.65</v>
      </c>
    </row>
    <row r="14">
      <c r="A14" t="n">
        <v>9</v>
      </c>
      <c r="B14" t="n">
        <v>9.710000000000001</v>
      </c>
      <c r="C14" t="n">
        <v>10.41</v>
      </c>
      <c r="D14" t="n">
        <v>9</v>
      </c>
      <c r="E14" t="n">
        <v>11.09</v>
      </c>
      <c r="F14" t="n">
        <v>12.22</v>
      </c>
      <c r="G14" t="n">
        <v>9</v>
      </c>
      <c r="H14" t="n">
        <v>7.21</v>
      </c>
      <c r="I14" t="n">
        <v>8.69</v>
      </c>
    </row>
    <row r="15">
      <c r="A15" t="n">
        <v>10</v>
      </c>
      <c r="B15" t="n">
        <v>8.6</v>
      </c>
      <c r="C15" t="n">
        <v>9.369999999999999</v>
      </c>
      <c r="D15" t="n">
        <v>10</v>
      </c>
      <c r="E15" t="n">
        <v>9.539999999999999</v>
      </c>
      <c r="F15" t="n">
        <v>10.87</v>
      </c>
      <c r="G15" t="n">
        <v>10</v>
      </c>
      <c r="H15" t="n">
        <v>5.99</v>
      </c>
      <c r="I15" t="n">
        <v>7.5</v>
      </c>
    </row>
    <row r="16">
      <c r="A16" t="n">
        <v>11</v>
      </c>
      <c r="B16" t="n">
        <v>8.630000000000001</v>
      </c>
      <c r="C16" t="n">
        <v>9.720000000000001</v>
      </c>
      <c r="D16" t="n">
        <v>11</v>
      </c>
      <c r="E16" t="n">
        <v>8.699999999999999</v>
      </c>
      <c r="F16" t="n">
        <v>9.880000000000001</v>
      </c>
      <c r="G16" t="n">
        <v>11</v>
      </c>
      <c r="H16" t="n">
        <v>5.67</v>
      </c>
      <c r="I16" t="n">
        <v>7.16</v>
      </c>
    </row>
    <row r="17">
      <c r="A17" t="n">
        <v>12</v>
      </c>
      <c r="B17" t="n">
        <v>8.1</v>
      </c>
      <c r="C17" t="n">
        <v>8.9</v>
      </c>
      <c r="D17" t="n">
        <v>12</v>
      </c>
      <c r="E17" t="n">
        <v>7.79</v>
      </c>
      <c r="F17" t="n">
        <v>9.18</v>
      </c>
      <c r="G17" t="n">
        <v>12</v>
      </c>
      <c r="H17" t="n">
        <v>4.91</v>
      </c>
      <c r="I17" t="n">
        <v>6.25</v>
      </c>
    </row>
    <row r="18">
      <c r="A18" t="n">
        <v>13</v>
      </c>
      <c r="B18" t="n">
        <v>10.37</v>
      </c>
      <c r="C18" t="n">
        <v>11.46</v>
      </c>
      <c r="D18" t="n">
        <v>13</v>
      </c>
      <c r="E18" t="n">
        <v>9.279999999999999</v>
      </c>
      <c r="F18" t="n">
        <v>10.49</v>
      </c>
      <c r="G18" t="n">
        <v>13</v>
      </c>
      <c r="H18" t="n">
        <v>6.71</v>
      </c>
      <c r="I18" t="n">
        <v>8.5</v>
      </c>
    </row>
    <row r="19">
      <c r="A19" t="n">
        <v>14</v>
      </c>
      <c r="B19" t="n">
        <v>12.05</v>
      </c>
      <c r="C19" t="n">
        <v>12.68</v>
      </c>
      <c r="D19" t="n">
        <v>14</v>
      </c>
      <c r="E19" t="n">
        <v>10.02</v>
      </c>
      <c r="F19" t="n">
        <v>11.43</v>
      </c>
      <c r="G19" t="n">
        <v>14</v>
      </c>
      <c r="H19" t="n">
        <v>7.97</v>
      </c>
      <c r="I19" t="n">
        <v>10.36</v>
      </c>
    </row>
    <row r="20">
      <c r="A20" t="n">
        <v>15</v>
      </c>
      <c r="B20" t="n">
        <v>13.6</v>
      </c>
      <c r="C20" t="n">
        <v>15.2</v>
      </c>
      <c r="D20" t="n">
        <v>15</v>
      </c>
      <c r="E20" t="n">
        <v>11.59</v>
      </c>
      <c r="F20" t="n">
        <v>13.69</v>
      </c>
      <c r="G20" t="n">
        <v>15</v>
      </c>
      <c r="H20" t="n">
        <v>10.19</v>
      </c>
      <c r="I20" t="n">
        <v>12.66</v>
      </c>
    </row>
    <row r="21">
      <c r="A21" t="n">
        <v>16</v>
      </c>
      <c r="B21" t="n">
        <v>16.32</v>
      </c>
      <c r="C21" t="n">
        <v>17.57</v>
      </c>
      <c r="D21" t="n">
        <v>16</v>
      </c>
      <c r="E21" t="n">
        <v>13.42</v>
      </c>
      <c r="F21" t="n">
        <v>15.17</v>
      </c>
      <c r="G21" t="n">
        <v>16</v>
      </c>
      <c r="H21" t="n">
        <v>13.15</v>
      </c>
      <c r="I21" t="n">
        <v>15.41</v>
      </c>
    </row>
    <row r="22">
      <c r="A22" t="n">
        <v>17</v>
      </c>
      <c r="B22" t="n">
        <v>17.38</v>
      </c>
      <c r="C22" t="n">
        <v>18.7</v>
      </c>
      <c r="D22" t="n">
        <v>17</v>
      </c>
      <c r="E22" t="n">
        <v>13.98</v>
      </c>
      <c r="F22" t="n">
        <v>15.82</v>
      </c>
      <c r="G22" t="n">
        <v>17</v>
      </c>
      <c r="H22" t="n">
        <v>14.48</v>
      </c>
      <c r="I22" t="n">
        <v>16.64</v>
      </c>
    </row>
    <row r="23">
      <c r="A23" t="n">
        <v>18</v>
      </c>
      <c r="B23" t="n">
        <v>18.49</v>
      </c>
      <c r="C23" t="n">
        <v>20.51</v>
      </c>
      <c r="D23" t="n">
        <v>18</v>
      </c>
      <c r="E23" t="n">
        <v>13.79</v>
      </c>
      <c r="F23" t="n">
        <v>15.44</v>
      </c>
      <c r="G23" t="n">
        <v>18</v>
      </c>
      <c r="H23" t="n">
        <v>15.1</v>
      </c>
      <c r="I23" t="n">
        <v>16.81</v>
      </c>
    </row>
    <row r="24">
      <c r="A24" t="n">
        <v>19</v>
      </c>
      <c r="B24" t="n">
        <v>18.03</v>
      </c>
      <c r="C24" t="n">
        <v>19.38</v>
      </c>
      <c r="D24" t="n">
        <v>19</v>
      </c>
      <c r="E24" t="n">
        <v>13.16</v>
      </c>
      <c r="F24" t="n">
        <v>14.65</v>
      </c>
      <c r="G24" t="n">
        <v>19</v>
      </c>
      <c r="H24" t="n">
        <v>14.9</v>
      </c>
      <c r="I24" t="n">
        <v>16.48</v>
      </c>
    </row>
    <row r="25">
      <c r="A25" t="n">
        <v>20</v>
      </c>
      <c r="B25" t="n">
        <v>16.63</v>
      </c>
      <c r="C25" t="n">
        <v>17.61</v>
      </c>
      <c r="D25" t="n">
        <v>20</v>
      </c>
      <c r="E25" t="n">
        <v>12.99</v>
      </c>
      <c r="F25" t="n">
        <v>14.05</v>
      </c>
      <c r="G25" t="n">
        <v>20</v>
      </c>
      <c r="H25" t="n">
        <v>13.88</v>
      </c>
      <c r="I25" t="n">
        <v>15.35</v>
      </c>
    </row>
    <row r="26">
      <c r="A26" t="n">
        <v>21</v>
      </c>
      <c r="B26" t="n">
        <v>14.4</v>
      </c>
      <c r="C26" t="n">
        <v>15.62</v>
      </c>
      <c r="D26" t="n">
        <v>21</v>
      </c>
      <c r="E26" t="n">
        <v>12.47</v>
      </c>
      <c r="F26" t="n">
        <v>13.26</v>
      </c>
      <c r="G26" t="n">
        <v>21</v>
      </c>
      <c r="H26" t="n">
        <v>12.69</v>
      </c>
      <c r="I26" t="n">
        <v>14.01</v>
      </c>
    </row>
    <row r="27">
      <c r="A27" t="n">
        <v>22</v>
      </c>
      <c r="B27" t="n">
        <v>12.88</v>
      </c>
      <c r="C27" t="n">
        <v>14.26</v>
      </c>
      <c r="D27" t="n">
        <v>22</v>
      </c>
      <c r="E27" t="n">
        <v>11.5</v>
      </c>
      <c r="F27" t="n">
        <v>12.31</v>
      </c>
      <c r="G27" t="n">
        <v>22</v>
      </c>
      <c r="H27" t="n">
        <v>11.96</v>
      </c>
      <c r="I27" t="n">
        <v>13.45</v>
      </c>
    </row>
    <row r="28">
      <c r="A28" t="n">
        <v>23</v>
      </c>
      <c r="B28" t="n">
        <v>11.85</v>
      </c>
      <c r="C28" t="n">
        <v>13.05</v>
      </c>
      <c r="D28" t="n">
        <v>23</v>
      </c>
      <c r="E28" t="n">
        <v>11.42</v>
      </c>
      <c r="F28" t="n">
        <v>12.13</v>
      </c>
      <c r="G28" t="n">
        <v>23</v>
      </c>
      <c r="H28" t="n">
        <v>11.48</v>
      </c>
      <c r="I28" t="n">
        <v>12.62</v>
      </c>
    </row>
    <row r="29">
      <c r="A29" s="3" t="inlineStr">
        <is>
          <t>注: 風力大/小＝各季節内で日次風力発電量（制御前）の上位/下位1/3の日（日数: 需要期・夏 62:62 / 需要期・冬 91:91 / 不需要期 183:183）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4" t="inlineStr">
        <is>
          <t>風力の日次水準（三分位）× 裁定指標（FY2023-25・日次平均）</t>
        </is>
      </c>
    </row>
    <row r="3">
      <c r="A3" s="2" t="inlineStr">
        <is>
          <t>季節</t>
        </is>
      </c>
      <c r="B3" s="2" t="inlineStr">
        <is>
          <t>風力三分位</t>
        </is>
      </c>
      <c r="C3" s="2" t="inlineStr">
        <is>
          <t>TB4hスプレッド(円/kWh)</t>
        </is>
      </c>
      <c r="D3" s="2" t="inlineStr">
        <is>
          <t>PF粗利(円/kW-日)</t>
        </is>
      </c>
      <c r="E3" s="2" t="inlineStr">
        <is>
          <t>床時間(h/日)</t>
        </is>
      </c>
      <c r="F3" s="2" t="inlineStr">
        <is>
          <t>安値分断(h/日)</t>
        </is>
      </c>
      <c r="H3" s="2" t="inlineStr">
        <is>
          <t>風力三分位</t>
        </is>
      </c>
      <c r="I3" s="2" t="inlineStr">
        <is>
          <t>不需要期</t>
        </is>
      </c>
      <c r="J3" s="2" t="inlineStr">
        <is>
          <t>需要期・冬</t>
        </is>
      </c>
      <c r="K3" s="2" t="inlineStr">
        <is>
          <t>需要期・夏</t>
        </is>
      </c>
    </row>
    <row r="4">
      <c r="A4" t="inlineStr">
        <is>
          <t>需要期・夏</t>
        </is>
      </c>
      <c r="B4" t="inlineStr">
        <is>
          <t>風力小</t>
        </is>
      </c>
      <c r="C4" t="n">
        <v>10.72</v>
      </c>
      <c r="D4" t="n">
        <v>31.2</v>
      </c>
      <c r="E4" t="n">
        <v>0.13</v>
      </c>
      <c r="F4" t="n">
        <v>8.1</v>
      </c>
      <c r="H4" t="inlineStr">
        <is>
          <t>風力小</t>
        </is>
      </c>
      <c r="I4" t="n">
        <v>32.1</v>
      </c>
      <c r="J4" t="n">
        <v>19</v>
      </c>
      <c r="K4" t="n">
        <v>31.2</v>
      </c>
    </row>
    <row r="5">
      <c r="A5" t="inlineStr">
        <is>
          <t>需要期・夏</t>
        </is>
      </c>
      <c r="B5" t="inlineStr">
        <is>
          <t>中位</t>
        </is>
      </c>
      <c r="C5" t="n">
        <v>10.4</v>
      </c>
      <c r="D5" t="n">
        <v>30.4</v>
      </c>
      <c r="E5" t="n">
        <v>0.03</v>
      </c>
      <c r="F5" t="n">
        <v>7.9</v>
      </c>
      <c r="H5" t="inlineStr">
        <is>
          <t>中位</t>
        </is>
      </c>
      <c r="I5" t="n">
        <v>31.7</v>
      </c>
      <c r="J5" t="n">
        <v>16.1</v>
      </c>
      <c r="K5" t="n">
        <v>30.4</v>
      </c>
    </row>
    <row r="6">
      <c r="A6" t="inlineStr">
        <is>
          <t>需要期・夏</t>
        </is>
      </c>
      <c r="B6" t="inlineStr">
        <is>
          <t>風力大</t>
        </is>
      </c>
      <c r="C6" t="n">
        <v>10.38</v>
      </c>
      <c r="D6" t="n">
        <v>30.7</v>
      </c>
      <c r="E6" t="n">
        <v>0.06</v>
      </c>
      <c r="F6" t="n">
        <v>10.3</v>
      </c>
      <c r="H6" t="inlineStr">
        <is>
          <t>風力大</t>
        </is>
      </c>
      <c r="I6" t="n">
        <v>31.6</v>
      </c>
      <c r="J6" t="n">
        <v>15.3</v>
      </c>
      <c r="K6" t="n">
        <v>30.7</v>
      </c>
    </row>
    <row r="7">
      <c r="A7" t="inlineStr">
        <is>
          <t>需要期・冬</t>
        </is>
      </c>
      <c r="B7" t="inlineStr">
        <is>
          <t>風力小</t>
        </is>
      </c>
      <c r="C7" t="n">
        <v>7.24</v>
      </c>
      <c r="D7" t="n">
        <v>19</v>
      </c>
      <c r="E7" t="n">
        <v>0.02</v>
      </c>
      <c r="F7" t="n">
        <v>3.1</v>
      </c>
    </row>
    <row r="8">
      <c r="A8" t="inlineStr">
        <is>
          <t>需要期・冬</t>
        </is>
      </c>
      <c r="B8" t="inlineStr">
        <is>
          <t>中位</t>
        </is>
      </c>
      <c r="C8" t="n">
        <v>6.43</v>
      </c>
      <c r="D8" t="n">
        <v>16.1</v>
      </c>
      <c r="E8" t="n">
        <v>0</v>
      </c>
      <c r="F8" t="n">
        <v>5.2</v>
      </c>
    </row>
    <row r="9">
      <c r="A9" t="inlineStr">
        <is>
          <t>需要期・冬</t>
        </is>
      </c>
      <c r="B9" t="inlineStr">
        <is>
          <t>風力大</t>
        </is>
      </c>
      <c r="C9" t="n">
        <v>5.92</v>
      </c>
      <c r="D9" t="n">
        <v>15.3</v>
      </c>
      <c r="E9" t="n">
        <v>0.04</v>
      </c>
      <c r="F9" t="n">
        <v>8.300000000000001</v>
      </c>
    </row>
    <row r="10">
      <c r="A10" t="inlineStr">
        <is>
          <t>不需要期</t>
        </is>
      </c>
      <c r="B10" t="inlineStr">
        <is>
          <t>風力小</t>
        </is>
      </c>
      <c r="C10" t="n">
        <v>10.61</v>
      </c>
      <c r="D10" t="n">
        <v>32.1</v>
      </c>
      <c r="E10" t="n">
        <v>0.62</v>
      </c>
      <c r="F10" t="n">
        <v>4.8</v>
      </c>
    </row>
    <row r="11">
      <c r="A11" t="inlineStr">
        <is>
          <t>不需要期</t>
        </is>
      </c>
      <c r="B11" t="inlineStr">
        <is>
          <t>中位</t>
        </is>
      </c>
      <c r="C11" t="n">
        <v>10.35</v>
      </c>
      <c r="D11" t="n">
        <v>31.7</v>
      </c>
      <c r="E11" t="n">
        <v>1.19</v>
      </c>
      <c r="F11" t="n">
        <v>6.5</v>
      </c>
    </row>
    <row r="12">
      <c r="A12" t="inlineStr">
        <is>
          <t>不需要期</t>
        </is>
      </c>
      <c r="B12" t="inlineStr">
        <is>
          <t>風力大</t>
        </is>
      </c>
      <c r="C12" t="n">
        <v>10.19</v>
      </c>
      <c r="D12" t="n">
        <v>31.6</v>
      </c>
      <c r="E12" t="n">
        <v>1.19</v>
      </c>
      <c r="F12" t="n">
        <v>9.199999999999999</v>
      </c>
    </row>
    <row r="14">
      <c r="A14" s="3" t="inlineStr">
        <is>
          <t>注: TB4h=上位4h平均−下位4h平均。PF粗利=完全予見4h・η0.85。安値分断=道内&lt;システム−0.01円の時間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4" t="inlineStr">
        <is>
          <t>duration曲線: 完全予見裁定価値のh依存（実績価格、FY2023-25平均）＋容量市場κ(h)</t>
        </is>
      </c>
    </row>
    <row r="3">
      <c r="A3" s="2" t="inlineStr">
        <is>
          <t>時間率</t>
        </is>
      </c>
      <c r="B3" s="2" t="inlineStr">
        <is>
          <t>PF価値(円/kW-年, FY23-25平均)</t>
        </is>
      </c>
      <c r="C3" s="2" t="inlineStr">
        <is>
          <t>4h比</t>
        </is>
      </c>
      <c r="D3" s="2" t="inlineStr">
        <is>
          <t>容量市場κ(h) 2029年度</t>
        </is>
      </c>
    </row>
    <row r="4">
      <c r="A4" t="inlineStr">
        <is>
          <t>2h</t>
        </is>
      </c>
      <c r="B4" t="n">
        <v>6026</v>
      </c>
      <c r="C4" t="n">
        <v>0.58</v>
      </c>
      <c r="D4" t="inlineStr">
        <is>
          <t>—</t>
        </is>
      </c>
    </row>
    <row r="5">
      <c r="A5" t="inlineStr">
        <is>
          <t>4h</t>
        </is>
      </c>
      <c r="B5" t="n">
        <v>10317</v>
      </c>
      <c r="C5" t="n">
        <v>1</v>
      </c>
      <c r="D5" t="inlineStr">
        <is>
          <t>83.6%</t>
        </is>
      </c>
    </row>
    <row r="6">
      <c r="A6" t="inlineStr">
        <is>
          <t>6h</t>
        </is>
      </c>
      <c r="B6" t="n">
        <v>13062</v>
      </c>
      <c r="C6" t="n">
        <v>1.27</v>
      </c>
      <c r="D6" t="inlineStr">
        <is>
          <t>93.2%</t>
        </is>
      </c>
    </row>
    <row r="7">
      <c r="A7" t="inlineStr">
        <is>
          <t>8h</t>
        </is>
      </c>
      <c r="B7" t="n">
        <v>14354</v>
      </c>
      <c r="C7" t="n">
        <v>1.39</v>
      </c>
      <c r="D7" t="inlineStr">
        <is>
          <t>98.3%</t>
        </is>
      </c>
    </row>
    <row r="9">
      <c r="A9" s="3" t="inlineStr">
        <is>
          <t>注: 出力1kWあたり。hを増やすと総価値は増えるが限界価値は逓減（浅い谷・鋭いピークの形状による）。κはOCCTO調整係数（北海道・蓄電池）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4" t="inlineStr">
        <is>
          <t>日次発電量（五分位）× 日平均価格・日内TB4hスプレッド（FY2023-25、季節別）</t>
        </is>
      </c>
    </row>
    <row r="3">
      <c r="A3" s="5" t="inlineStr">
        <is>
          <t>■ 風力</t>
        </is>
      </c>
    </row>
    <row r="4">
      <c r="A4" s="6" t="inlineStr">
        <is>
          <t>五分位</t>
        </is>
      </c>
      <c r="B4" s="6" t="inlineStr">
        <is>
          <t>需要期・夏 発電量GWh</t>
        </is>
      </c>
      <c r="C4" s="6" t="inlineStr">
        <is>
          <t>需要期・夏 平均価格</t>
        </is>
      </c>
      <c r="D4" s="6" t="inlineStr">
        <is>
          <t>需要期・夏 TB4h</t>
        </is>
      </c>
      <c r="E4" s="6" t="inlineStr">
        <is>
          <t>需要期・夏 日内SD</t>
        </is>
      </c>
      <c r="F4" s="6" t="inlineStr">
        <is>
          <t>需要期・冬 発電量GWh</t>
        </is>
      </c>
      <c r="G4" s="6" t="inlineStr">
        <is>
          <t>需要期・冬 平均価格</t>
        </is>
      </c>
      <c r="H4" s="6" t="inlineStr">
        <is>
          <t>需要期・冬 TB4h</t>
        </is>
      </c>
      <c r="I4" s="6" t="inlineStr">
        <is>
          <t>需要期・冬 日内SD</t>
        </is>
      </c>
      <c r="J4" s="6" t="inlineStr">
        <is>
          <t>不需要期 発電量GWh</t>
        </is>
      </c>
      <c r="K4" s="6" t="inlineStr">
        <is>
          <t>不需要期 平均価格</t>
        </is>
      </c>
      <c r="L4" s="6" t="inlineStr">
        <is>
          <t>不需要期 TB4h</t>
        </is>
      </c>
      <c r="M4" s="6" t="inlineStr">
        <is>
          <t>不需要期 日内SD</t>
        </is>
      </c>
    </row>
    <row r="5">
      <c r="A5" t="inlineStr">
        <is>
          <t>Q1</t>
        </is>
      </c>
      <c r="B5" t="n">
        <v>0.9</v>
      </c>
      <c r="C5" t="n">
        <v>12.75</v>
      </c>
      <c r="D5" t="n">
        <v>10.3</v>
      </c>
      <c r="E5" t="n">
        <v>3.82</v>
      </c>
      <c r="F5" t="n">
        <v>3.7</v>
      </c>
      <c r="G5" t="n">
        <v>13.13</v>
      </c>
      <c r="H5" t="n">
        <v>7.19</v>
      </c>
      <c r="I5" t="n">
        <v>2.55</v>
      </c>
      <c r="J5" t="n">
        <v>2.3</v>
      </c>
      <c r="K5" t="n">
        <v>12.51</v>
      </c>
      <c r="L5" t="n">
        <v>10.9</v>
      </c>
      <c r="M5" t="n">
        <v>3.98</v>
      </c>
    </row>
    <row r="6">
      <c r="A6" t="inlineStr">
        <is>
          <t>Q2</t>
        </is>
      </c>
      <c r="B6" t="n">
        <v>2.5</v>
      </c>
      <c r="C6" t="n">
        <v>13.6</v>
      </c>
      <c r="D6" t="n">
        <v>11.6</v>
      </c>
      <c r="E6" t="n">
        <v>4.24</v>
      </c>
      <c r="F6" t="n">
        <v>7</v>
      </c>
      <c r="G6" t="n">
        <v>12.69</v>
      </c>
      <c r="H6" t="n">
        <v>7.03</v>
      </c>
      <c r="I6" t="n">
        <v>2.52</v>
      </c>
      <c r="J6" t="n">
        <v>4.9</v>
      </c>
      <c r="K6" t="n">
        <v>11.79</v>
      </c>
      <c r="L6" t="n">
        <v>10.06</v>
      </c>
      <c r="M6" t="n">
        <v>3.66</v>
      </c>
    </row>
    <row r="7">
      <c r="A7" t="inlineStr">
        <is>
          <t>Q3</t>
        </is>
      </c>
      <c r="B7" t="n">
        <v>4.6</v>
      </c>
      <c r="C7" t="n">
        <v>12.41</v>
      </c>
      <c r="D7" t="n">
        <v>10.37</v>
      </c>
      <c r="E7" t="n">
        <v>3.71</v>
      </c>
      <c r="F7" t="n">
        <v>9.9</v>
      </c>
      <c r="G7" t="n">
        <v>12.78</v>
      </c>
      <c r="H7" t="n">
        <v>6.53</v>
      </c>
      <c r="I7" t="n">
        <v>2.36</v>
      </c>
      <c r="J7" t="n">
        <v>7.4</v>
      </c>
      <c r="K7" t="n">
        <v>10.98</v>
      </c>
      <c r="L7" t="n">
        <v>10.24</v>
      </c>
      <c r="M7" t="n">
        <v>3.77</v>
      </c>
    </row>
    <row r="8">
      <c r="A8" t="inlineStr">
        <is>
          <t>Q4</t>
        </is>
      </c>
      <c r="B8" t="n">
        <v>7.1</v>
      </c>
      <c r="C8" t="n">
        <v>12.08</v>
      </c>
      <c r="D8" t="n">
        <v>10.02</v>
      </c>
      <c r="E8" t="n">
        <v>3.57</v>
      </c>
      <c r="F8" t="n">
        <v>13.4</v>
      </c>
      <c r="G8" t="n">
        <v>11.77</v>
      </c>
      <c r="H8" t="n">
        <v>6.05</v>
      </c>
      <c r="I8" t="n">
        <v>2.17</v>
      </c>
      <c r="J8" t="n">
        <v>10</v>
      </c>
      <c r="K8" t="n">
        <v>10.66</v>
      </c>
      <c r="L8" t="n">
        <v>11</v>
      </c>
      <c r="M8" t="n">
        <v>3.99</v>
      </c>
    </row>
    <row r="9">
      <c r="A9" t="inlineStr">
        <is>
          <t>Q5</t>
        </is>
      </c>
      <c r="B9" t="n">
        <v>10.5</v>
      </c>
      <c r="C9" t="n">
        <v>12.22</v>
      </c>
      <c r="D9" t="n">
        <v>10.23</v>
      </c>
      <c r="E9" t="n">
        <v>3.67</v>
      </c>
      <c r="F9" t="n">
        <v>17.7</v>
      </c>
      <c r="G9" t="n">
        <v>11.15</v>
      </c>
      <c r="H9" t="n">
        <v>5.86</v>
      </c>
      <c r="I9" t="n">
        <v>2.11</v>
      </c>
      <c r="J9" t="n">
        <v>14.3</v>
      </c>
      <c r="K9" t="n">
        <v>10.46</v>
      </c>
      <c r="L9" t="n">
        <v>9.710000000000001</v>
      </c>
      <c r="M9" t="n">
        <v>3.5</v>
      </c>
    </row>
    <row r="12">
      <c r="A12" s="5" t="inlineStr">
        <is>
          <t>■ 太陽光</t>
        </is>
      </c>
    </row>
    <row r="13">
      <c r="A13" s="6" t="inlineStr">
        <is>
          <t>五分位</t>
        </is>
      </c>
      <c r="B13" s="6" t="inlineStr">
        <is>
          <t>需要期・夏 発電量GWh</t>
        </is>
      </c>
      <c r="C13" s="6" t="inlineStr">
        <is>
          <t>需要期・夏 平均価格</t>
        </is>
      </c>
      <c r="D13" s="6" t="inlineStr">
        <is>
          <t>需要期・夏 TB4h</t>
        </is>
      </c>
      <c r="E13" s="6" t="inlineStr">
        <is>
          <t>需要期・夏 日内SD</t>
        </is>
      </c>
      <c r="F13" s="6" t="inlineStr">
        <is>
          <t>需要期・冬 発電量GWh</t>
        </is>
      </c>
      <c r="G13" s="6" t="inlineStr">
        <is>
          <t>需要期・冬 平均価格</t>
        </is>
      </c>
      <c r="H13" s="6" t="inlineStr">
        <is>
          <t>需要期・冬 TB4h</t>
        </is>
      </c>
      <c r="I13" s="6" t="inlineStr">
        <is>
          <t>需要期・冬 日内SD</t>
        </is>
      </c>
      <c r="J13" s="6" t="inlineStr">
        <is>
          <t>不需要期 発電量GWh</t>
        </is>
      </c>
      <c r="K13" s="6" t="inlineStr">
        <is>
          <t>不需要期 平均価格</t>
        </is>
      </c>
      <c r="L13" s="6" t="inlineStr">
        <is>
          <t>不需要期 TB4h</t>
        </is>
      </c>
      <c r="M13" s="6" t="inlineStr">
        <is>
          <t>不需要期 日内SD</t>
        </is>
      </c>
    </row>
    <row r="14">
      <c r="A14" t="inlineStr">
        <is>
          <t>Q1</t>
        </is>
      </c>
      <c r="B14" t="n">
        <v>5.3</v>
      </c>
      <c r="C14" t="n">
        <v>13.09</v>
      </c>
      <c r="D14" t="n">
        <v>9.050000000000001</v>
      </c>
      <c r="E14" t="n">
        <v>3.36</v>
      </c>
      <c r="F14" t="n">
        <v>2.6</v>
      </c>
      <c r="G14" t="n">
        <v>12.22</v>
      </c>
      <c r="H14" t="n">
        <v>5.92</v>
      </c>
      <c r="I14" t="n">
        <v>2.16</v>
      </c>
      <c r="J14" t="n">
        <v>4.5</v>
      </c>
      <c r="K14" t="n">
        <v>12.44</v>
      </c>
      <c r="L14" t="n">
        <v>8.220000000000001</v>
      </c>
      <c r="M14" t="n">
        <v>2.95</v>
      </c>
    </row>
    <row r="15">
      <c r="A15" t="inlineStr">
        <is>
          <t>Q2</t>
        </is>
      </c>
      <c r="B15" t="n">
        <v>8.199999999999999</v>
      </c>
      <c r="C15" t="n">
        <v>13.15</v>
      </c>
      <c r="D15" t="n">
        <v>10.93</v>
      </c>
      <c r="E15" t="n">
        <v>3.97</v>
      </c>
      <c r="F15" t="n">
        <v>4.6</v>
      </c>
      <c r="G15" t="n">
        <v>12.09</v>
      </c>
      <c r="H15" t="n">
        <v>6.18</v>
      </c>
      <c r="I15" t="n">
        <v>2.19</v>
      </c>
      <c r="J15" t="n">
        <v>7.6</v>
      </c>
      <c r="K15" t="n">
        <v>12</v>
      </c>
      <c r="L15" t="n">
        <v>9.800000000000001</v>
      </c>
      <c r="M15" t="n">
        <v>3.5</v>
      </c>
    </row>
    <row r="16">
      <c r="A16" t="inlineStr">
        <is>
          <t>Q3</t>
        </is>
      </c>
      <c r="B16" t="n">
        <v>9.9</v>
      </c>
      <c r="C16" t="n">
        <v>12.45</v>
      </c>
      <c r="D16" t="n">
        <v>10.15</v>
      </c>
      <c r="E16" t="n">
        <v>3.62</v>
      </c>
      <c r="F16" t="n">
        <v>5.6</v>
      </c>
      <c r="G16" t="n">
        <v>12.89</v>
      </c>
      <c r="H16" t="n">
        <v>7.46</v>
      </c>
      <c r="I16" t="n">
        <v>2.64</v>
      </c>
      <c r="J16" t="n">
        <v>9.6</v>
      </c>
      <c r="K16" t="n">
        <v>11.73</v>
      </c>
      <c r="L16" t="n">
        <v>10.84</v>
      </c>
      <c r="M16" t="n">
        <v>3.92</v>
      </c>
    </row>
    <row r="17">
      <c r="A17" t="inlineStr">
        <is>
          <t>Q4</t>
        </is>
      </c>
      <c r="B17" t="n">
        <v>12.2</v>
      </c>
      <c r="C17" t="n">
        <v>12.03</v>
      </c>
      <c r="D17" t="n">
        <v>9.9</v>
      </c>
      <c r="E17" t="n">
        <v>3.59</v>
      </c>
      <c r="F17" t="n">
        <v>6.6</v>
      </c>
      <c r="G17" t="n">
        <v>13</v>
      </c>
      <c r="H17" t="n">
        <v>6.65</v>
      </c>
      <c r="I17" t="n">
        <v>2.4</v>
      </c>
      <c r="J17" t="n">
        <v>11.8</v>
      </c>
      <c r="K17" t="n">
        <v>10.54</v>
      </c>
      <c r="L17" t="n">
        <v>10.94</v>
      </c>
      <c r="M17" t="n">
        <v>4.05</v>
      </c>
    </row>
    <row r="18">
      <c r="A18" t="inlineStr">
        <is>
          <t>Q5</t>
        </is>
      </c>
      <c r="B18" t="n">
        <v>14.5</v>
      </c>
      <c r="C18" t="n">
        <v>12.33</v>
      </c>
      <c r="D18" t="n">
        <v>12.57</v>
      </c>
      <c r="E18" t="n">
        <v>4.5</v>
      </c>
      <c r="F18" t="n">
        <v>8.800000000000001</v>
      </c>
      <c r="G18" t="n">
        <v>11.36</v>
      </c>
      <c r="H18" t="n">
        <v>6.48</v>
      </c>
      <c r="I18" t="n">
        <v>2.32</v>
      </c>
      <c r="J18" t="n">
        <v>15.1</v>
      </c>
      <c r="K18" t="n">
        <v>9.68</v>
      </c>
      <c r="L18" t="n">
        <v>12.12</v>
      </c>
      <c r="M18" t="n">
        <v>4.48</v>
      </c>
    </row>
    <row r="36">
      <c r="A36" s="3" t="inlineStr">
        <is>
          <t>注: 五分位＝各季節内の日次発電量（制御前）による5等分。TB4h＝上位4h平均−下位4h平均。風力のTB4hはほぼ平坦（形状不変）、太陽光は不需要期に急拡大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供給曲線v2の価格水準係数 θ（FY2023-25 の時間加重平均=1）: 年度別と月次</t>
        </is>
      </c>
    </row>
    <row r="3">
      <c r="A3" s="5" t="inlineStr">
        <is>
          <t>年度別 θ</t>
        </is>
      </c>
      <c r="G3" s="5" t="inlineStr">
        <is>
          <t>月次 θ_m（価格水準指数）</t>
        </is>
      </c>
    </row>
    <row r="4">
      <c r="A4" s="6" t="inlineStr">
        <is>
          <t>年度</t>
        </is>
      </c>
      <c r="B4" s="6" t="inlineStr">
        <is>
          <t>θ_FY</t>
        </is>
      </c>
      <c r="C4" s="6" t="inlineStr">
        <is>
          <t>平均価格(北海道)</t>
        </is>
      </c>
      <c r="D4" s="6" t="inlineStr">
        <is>
          <t>平均システムプライス</t>
        </is>
      </c>
      <c r="G4" s="6" t="inlineStr">
        <is>
          <t>年月</t>
        </is>
      </c>
      <c r="H4" s="6" t="inlineStr">
        <is>
          <t>θ_m</t>
        </is>
      </c>
      <c r="I4" s="6" t="inlineStr">
        <is>
          <t>平均価格(北海道)</t>
        </is>
      </c>
      <c r="J4" s="6" t="inlineStr">
        <is>
          <t>平均システムプライス</t>
        </is>
      </c>
    </row>
    <row r="5">
      <c r="A5" t="inlineStr">
        <is>
          <t>FY2022</t>
        </is>
      </c>
      <c r="B5" t="n">
        <v>1.715</v>
      </c>
      <c r="C5" t="n">
        <v>21.66</v>
      </c>
      <c r="D5" t="n">
        <v>20.41</v>
      </c>
      <c r="G5" t="inlineStr">
        <is>
          <t>2022-04</t>
        </is>
      </c>
      <c r="H5" t="n">
        <v>1.61</v>
      </c>
      <c r="I5" t="n">
        <v>17.7</v>
      </c>
      <c r="J5" t="n">
        <v>17.76</v>
      </c>
    </row>
    <row r="6">
      <c r="A6" t="inlineStr">
        <is>
          <t>FY2023</t>
        </is>
      </c>
      <c r="B6" t="n">
        <v>0.9379999999999999</v>
      </c>
      <c r="C6" t="n">
        <v>11.44</v>
      </c>
      <c r="D6" t="n">
        <v>10.74</v>
      </c>
      <c r="G6" t="inlineStr">
        <is>
          <t>2022-05</t>
        </is>
      </c>
      <c r="H6" t="n">
        <v>1.724</v>
      </c>
      <c r="I6" t="n">
        <v>16.96</v>
      </c>
      <c r="J6" t="n">
        <v>16.95</v>
      </c>
    </row>
    <row r="7">
      <c r="A7" t="inlineStr">
        <is>
          <t>FY2024</t>
        </is>
      </c>
      <c r="B7" t="n">
        <v>1.065</v>
      </c>
      <c r="C7" t="n">
        <v>12.64</v>
      </c>
      <c r="D7" t="n">
        <v>12.29</v>
      </c>
      <c r="G7" t="inlineStr">
        <is>
          <t>2022-06</t>
        </is>
      </c>
      <c r="H7" t="n">
        <v>2.008</v>
      </c>
      <c r="I7" t="n">
        <v>21.84</v>
      </c>
      <c r="J7" t="n">
        <v>21.28</v>
      </c>
    </row>
    <row r="8">
      <c r="A8" t="inlineStr">
        <is>
          <t>FY2025</t>
        </is>
      </c>
      <c r="B8" t="n">
        <v>0.997</v>
      </c>
      <c r="C8" t="n">
        <v>11.7</v>
      </c>
      <c r="D8" t="n">
        <v>11.06</v>
      </c>
      <c r="G8" t="inlineStr">
        <is>
          <t>2022-07</t>
        </is>
      </c>
      <c r="H8" t="n">
        <v>2.138</v>
      </c>
      <c r="I8" t="n">
        <v>26.63</v>
      </c>
      <c r="J8" t="n">
        <v>24.8</v>
      </c>
    </row>
    <row r="9">
      <c r="A9" t="inlineStr">
        <is>
          <t>FY2026</t>
        </is>
      </c>
      <c r="B9" t="n">
        <v>1.567</v>
      </c>
      <c r="C9" t="n">
        <v>14.04</v>
      </c>
      <c r="D9" t="n">
        <v>14.63</v>
      </c>
      <c r="G9" t="inlineStr">
        <is>
          <t>2022-08</t>
        </is>
      </c>
      <c r="H9" t="n">
        <v>2.191</v>
      </c>
      <c r="I9" t="n">
        <v>25.99</v>
      </c>
      <c r="J9" t="n">
        <v>25.52</v>
      </c>
    </row>
    <row r="10">
      <c r="G10" t="inlineStr">
        <is>
          <t>2022-09</t>
        </is>
      </c>
      <c r="H10" t="n">
        <v>2.21</v>
      </c>
      <c r="I10" t="n">
        <v>27.83</v>
      </c>
      <c r="J10" t="n">
        <v>24.02</v>
      </c>
    </row>
    <row r="11">
      <c r="G11" t="inlineStr">
        <is>
          <t>2022-10</t>
        </is>
      </c>
      <c r="H11" t="n">
        <v>1.864</v>
      </c>
      <c r="I11" t="n">
        <v>25.37</v>
      </c>
      <c r="J11" t="n">
        <v>22.08</v>
      </c>
    </row>
    <row r="12">
      <c r="G12" t="inlineStr">
        <is>
          <t>2022-11</t>
        </is>
      </c>
      <c r="H12" t="n">
        <v>1.578</v>
      </c>
      <c r="I12" t="n">
        <v>25.51</v>
      </c>
      <c r="J12" t="n">
        <v>22.6</v>
      </c>
    </row>
    <row r="13">
      <c r="G13" t="inlineStr">
        <is>
          <t>2022-12</t>
        </is>
      </c>
      <c r="H13" t="n">
        <v>1.978</v>
      </c>
      <c r="I13" t="n">
        <v>25.86</v>
      </c>
      <c r="J13" t="n">
        <v>25.04</v>
      </c>
    </row>
    <row r="14">
      <c r="G14" t="inlineStr">
        <is>
          <t>2023-01</t>
        </is>
      </c>
      <c r="H14" t="n">
        <v>1.398</v>
      </c>
      <c r="I14" t="n">
        <v>20.12</v>
      </c>
      <c r="J14" t="n">
        <v>19.56</v>
      </c>
    </row>
    <row r="15">
      <c r="G15" t="inlineStr">
        <is>
          <t>2023-02</t>
        </is>
      </c>
      <c r="H15" t="n">
        <v>1.165</v>
      </c>
      <c r="I15" t="n">
        <v>15.86</v>
      </c>
      <c r="J15" t="n">
        <v>15.06</v>
      </c>
    </row>
    <row r="16">
      <c r="G16" t="inlineStr">
        <is>
          <t>2023-03</t>
        </is>
      </c>
      <c r="H16" t="n">
        <v>0.823</v>
      </c>
      <c r="I16" t="n">
        <v>9.880000000000001</v>
      </c>
      <c r="J16" t="n">
        <v>9.81</v>
      </c>
    </row>
    <row r="17">
      <c r="G17" t="inlineStr">
        <is>
          <t>2023-04</t>
        </is>
      </c>
      <c r="H17" t="n">
        <v>0.928</v>
      </c>
      <c r="I17" t="n">
        <v>9.369999999999999</v>
      </c>
      <c r="J17" t="n">
        <v>8.56</v>
      </c>
    </row>
    <row r="18">
      <c r="G18" t="inlineStr">
        <is>
          <t>2023-05</t>
        </is>
      </c>
      <c r="H18" t="n">
        <v>1.106</v>
      </c>
      <c r="I18" t="n">
        <v>10.55</v>
      </c>
      <c r="J18" t="n">
        <v>8.65</v>
      </c>
    </row>
    <row r="19">
      <c r="G19" t="inlineStr">
        <is>
          <t>2023-06</t>
        </is>
      </c>
      <c r="H19" t="n">
        <v>0.975</v>
      </c>
      <c r="I19" t="n">
        <v>10.28</v>
      </c>
      <c r="J19" t="n">
        <v>8.48</v>
      </c>
    </row>
    <row r="20">
      <c r="G20" t="inlineStr">
        <is>
          <t>2023-07</t>
        </is>
      </c>
      <c r="H20" t="n">
        <v>0.893</v>
      </c>
      <c r="I20" t="n">
        <v>10.77</v>
      </c>
      <c r="J20" t="n">
        <v>10.13</v>
      </c>
    </row>
    <row r="21">
      <c r="G21" t="inlineStr">
        <is>
          <t>2023-08</t>
        </is>
      </c>
      <c r="H21" t="n">
        <v>0.931</v>
      </c>
      <c r="I21" t="n">
        <v>12.52</v>
      </c>
      <c r="J21" t="n">
        <v>11.68</v>
      </c>
    </row>
    <row r="22">
      <c r="G22" t="inlineStr">
        <is>
          <t>2023-09</t>
        </is>
      </c>
      <c r="H22" t="n">
        <v>1.092</v>
      </c>
      <c r="I22" t="n">
        <v>14.71</v>
      </c>
      <c r="J22" t="n">
        <v>13.39</v>
      </c>
    </row>
    <row r="23">
      <c r="G23" t="inlineStr">
        <is>
          <t>2023-10</t>
        </is>
      </c>
      <c r="H23" t="n">
        <v>1.07</v>
      </c>
      <c r="I23" t="n">
        <v>12.78</v>
      </c>
      <c r="J23" t="n">
        <v>11.24</v>
      </c>
    </row>
    <row r="24">
      <c r="G24" t="inlineStr">
        <is>
          <t>2023-11</t>
        </is>
      </c>
      <c r="H24" t="n">
        <v>0.868</v>
      </c>
      <c r="I24" t="n">
        <v>12.2</v>
      </c>
      <c r="J24" t="n">
        <v>14.2</v>
      </c>
    </row>
    <row r="25">
      <c r="G25" t="inlineStr">
        <is>
          <t>2023-12</t>
        </is>
      </c>
      <c r="H25" t="n">
        <v>1.063</v>
      </c>
      <c r="I25" t="n">
        <v>12.7</v>
      </c>
      <c r="J25" t="n">
        <v>12.4</v>
      </c>
    </row>
    <row r="26">
      <c r="G26" t="inlineStr">
        <is>
          <t>2024-01</t>
        </is>
      </c>
      <c r="H26" t="n">
        <v>0.784</v>
      </c>
      <c r="I26" t="n">
        <v>9.94</v>
      </c>
      <c r="J26" t="n">
        <v>10.12</v>
      </c>
    </row>
    <row r="27">
      <c r="G27" t="inlineStr">
        <is>
          <t>2024-02</t>
        </is>
      </c>
      <c r="H27" t="n">
        <v>0.767</v>
      </c>
      <c r="I27" t="n">
        <v>9.369999999999999</v>
      </c>
      <c r="J27" t="n">
        <v>9.359999999999999</v>
      </c>
    </row>
    <row r="28">
      <c r="G28" t="inlineStr">
        <is>
          <t>2024-03</t>
        </is>
      </c>
      <c r="H28" t="n">
        <v>0.914</v>
      </c>
      <c r="I28" t="n">
        <v>12.05</v>
      </c>
      <c r="J28" t="n">
        <v>10.66</v>
      </c>
    </row>
    <row r="29">
      <c r="G29" t="inlineStr">
        <is>
          <t>2024-04</t>
        </is>
      </c>
      <c r="H29" t="n">
        <v>1.016</v>
      </c>
      <c r="I29" t="n">
        <v>9.94</v>
      </c>
      <c r="J29" t="n">
        <v>9.44</v>
      </c>
    </row>
    <row r="30">
      <c r="G30" t="inlineStr">
        <is>
          <t>2024-05</t>
        </is>
      </c>
      <c r="H30" t="n">
        <v>1.198</v>
      </c>
      <c r="I30" t="n">
        <v>10.69</v>
      </c>
      <c r="J30" t="n">
        <v>9.619999999999999</v>
      </c>
    </row>
    <row r="31">
      <c r="G31" t="inlineStr">
        <is>
          <t>2024-06</t>
        </is>
      </c>
      <c r="H31" t="n">
        <v>1.173</v>
      </c>
      <c r="I31" t="n">
        <v>11.5</v>
      </c>
      <c r="J31" t="n">
        <v>10.92</v>
      </c>
    </row>
    <row r="32">
      <c r="G32" t="inlineStr">
        <is>
          <t>2024-07</t>
        </is>
      </c>
      <c r="H32" t="n">
        <v>1.059</v>
      </c>
      <c r="I32" t="n">
        <v>12.6</v>
      </c>
      <c r="J32" t="n">
        <v>14.15</v>
      </c>
    </row>
    <row r="33">
      <c r="G33" t="inlineStr">
        <is>
          <t>2024-08</t>
        </is>
      </c>
      <c r="H33" t="n">
        <v>1.001</v>
      </c>
      <c r="I33" t="n">
        <v>13.13</v>
      </c>
      <c r="J33" t="n">
        <v>14.48</v>
      </c>
    </row>
    <row r="34">
      <c r="G34" t="inlineStr">
        <is>
          <t>2024-09</t>
        </is>
      </c>
      <c r="H34" t="n">
        <v>1.124</v>
      </c>
      <c r="I34" t="n">
        <v>13.22</v>
      </c>
      <c r="J34" t="n">
        <v>13.96</v>
      </c>
    </row>
    <row r="35">
      <c r="G35" t="inlineStr">
        <is>
          <t>2024-10</t>
        </is>
      </c>
      <c r="H35" t="n">
        <v>1.101</v>
      </c>
      <c r="I35" t="n">
        <v>13.03</v>
      </c>
      <c r="J35" t="n">
        <v>12.68</v>
      </c>
    </row>
    <row r="36">
      <c r="G36" t="inlineStr">
        <is>
          <t>2024-11</t>
        </is>
      </c>
      <c r="H36" t="n">
        <v>0.9330000000000001</v>
      </c>
      <c r="I36" t="n">
        <v>13.72</v>
      </c>
      <c r="J36" t="n">
        <v>12.42</v>
      </c>
    </row>
    <row r="37">
      <c r="G37" t="inlineStr">
        <is>
          <t>2024-12</t>
        </is>
      </c>
      <c r="H37" t="n">
        <v>1.113</v>
      </c>
      <c r="I37" t="n">
        <v>13.44</v>
      </c>
      <c r="J37" t="n">
        <v>12.26</v>
      </c>
    </row>
    <row r="38">
      <c r="G38" t="inlineStr">
        <is>
          <t>2025-01</t>
        </is>
      </c>
      <c r="H38" t="n">
        <v>1.177</v>
      </c>
      <c r="I38" t="n">
        <v>14.27</v>
      </c>
      <c r="J38" t="n">
        <v>12.43</v>
      </c>
    </row>
    <row r="39">
      <c r="G39" t="inlineStr">
        <is>
          <t>2025-02</t>
        </is>
      </c>
      <c r="H39" t="n">
        <v>1.24</v>
      </c>
      <c r="I39" t="n">
        <v>14.29</v>
      </c>
      <c r="J39" t="n">
        <v>13.94</v>
      </c>
    </row>
    <row r="40">
      <c r="G40" t="inlineStr">
        <is>
          <t>2025-03</t>
        </is>
      </c>
      <c r="H40" t="n">
        <v>0.924</v>
      </c>
      <c r="I40" t="n">
        <v>11.97</v>
      </c>
      <c r="J40" t="n">
        <v>11.31</v>
      </c>
    </row>
    <row r="41">
      <c r="G41" t="inlineStr">
        <is>
          <t>2025-04</t>
        </is>
      </c>
      <c r="H41" t="n">
        <v>0.9350000000000001</v>
      </c>
      <c r="I41" t="n">
        <v>9.949999999999999</v>
      </c>
      <c r="J41" t="n">
        <v>9.82</v>
      </c>
    </row>
    <row r="42">
      <c r="G42" t="inlineStr">
        <is>
          <t>2025-05</t>
        </is>
      </c>
      <c r="H42" t="n">
        <v>0.981</v>
      </c>
      <c r="I42" t="n">
        <v>8.5</v>
      </c>
      <c r="J42" t="n">
        <v>8.92</v>
      </c>
    </row>
    <row r="43">
      <c r="G43" t="inlineStr">
        <is>
          <t>2025-06</t>
        </is>
      </c>
      <c r="H43" t="n">
        <v>0.975</v>
      </c>
      <c r="I43" t="n">
        <v>9.369999999999999</v>
      </c>
      <c r="J43" t="n">
        <v>10.87</v>
      </c>
    </row>
    <row r="44">
      <c r="G44" t="inlineStr">
        <is>
          <t>2025-07</t>
        </is>
      </c>
      <c r="H44" t="n">
        <v>1.042</v>
      </c>
      <c r="I44" t="n">
        <v>13.11</v>
      </c>
      <c r="J44" t="n">
        <v>12.75</v>
      </c>
    </row>
    <row r="45">
      <c r="G45" t="inlineStr">
        <is>
          <t>2025-08</t>
        </is>
      </c>
      <c r="H45" t="n">
        <v>1.086</v>
      </c>
      <c r="I45" t="n">
        <v>13.55</v>
      </c>
      <c r="J45" t="n">
        <v>11.98</v>
      </c>
    </row>
    <row r="46">
      <c r="G46" t="inlineStr">
        <is>
          <t>2025-09</t>
        </is>
      </c>
      <c r="H46" t="n">
        <v>1.068</v>
      </c>
      <c r="I46" t="n">
        <v>12.14</v>
      </c>
      <c r="J46" t="n">
        <v>11.62</v>
      </c>
    </row>
    <row r="47">
      <c r="G47" t="inlineStr">
        <is>
          <t>2025-10</t>
        </is>
      </c>
      <c r="H47" t="n">
        <v>1.082</v>
      </c>
      <c r="I47" t="n">
        <v>12.89</v>
      </c>
      <c r="J47" t="n">
        <v>11.67</v>
      </c>
    </row>
    <row r="48">
      <c r="G48" t="inlineStr">
        <is>
          <t>2025-11</t>
        </is>
      </c>
      <c r="H48" t="n">
        <v>0.785</v>
      </c>
      <c r="I48" t="n">
        <v>11.17</v>
      </c>
      <c r="J48" t="n">
        <v>10.55</v>
      </c>
    </row>
    <row r="49">
      <c r="G49" t="inlineStr">
        <is>
          <t>2025-12</t>
        </is>
      </c>
      <c r="H49" t="n">
        <v>1.039</v>
      </c>
      <c r="I49" t="n">
        <v>11.9</v>
      </c>
      <c r="J49" t="n">
        <v>10.58</v>
      </c>
    </row>
    <row r="50">
      <c r="G50" t="inlineStr">
        <is>
          <t>2026-01</t>
        </is>
      </c>
      <c r="H50" t="n">
        <v>1.07</v>
      </c>
      <c r="I50" t="n">
        <v>13.63</v>
      </c>
      <c r="J50" t="n">
        <v>11.27</v>
      </c>
    </row>
    <row r="51">
      <c r="G51" t="inlineStr">
        <is>
          <t>2026-02</t>
        </is>
      </c>
      <c r="H51" t="n">
        <v>0.959</v>
      </c>
      <c r="I51" t="n">
        <v>11.13</v>
      </c>
      <c r="J51" t="n">
        <v>10.45</v>
      </c>
    </row>
    <row r="52">
      <c r="G52" t="inlineStr">
        <is>
          <t>2026-03</t>
        </is>
      </c>
      <c r="H52" t="n">
        <v>1.026</v>
      </c>
      <c r="I52" t="n">
        <v>12.91</v>
      </c>
      <c r="J52" t="n">
        <v>12.12</v>
      </c>
    </row>
    <row r="53">
      <c r="G53" t="inlineStr">
        <is>
          <t>2026-04</t>
        </is>
      </c>
      <c r="H53" t="n">
        <v>1.525</v>
      </c>
      <c r="I53" t="n">
        <v>13.96</v>
      </c>
      <c r="J53" t="n">
        <v>14.77</v>
      </c>
    </row>
    <row r="54">
      <c r="G54" t="inlineStr">
        <is>
          <t>2026-05</t>
        </is>
      </c>
      <c r="H54" t="n">
        <v>1.668</v>
      </c>
      <c r="I54" t="n">
        <v>13.65</v>
      </c>
      <c r="J54" t="n">
        <v>14.06</v>
      </c>
    </row>
    <row r="55">
      <c r="G55" t="inlineStr">
        <is>
          <t>2026-06</t>
        </is>
      </c>
      <c r="H55" t="n">
        <v>1.525</v>
      </c>
      <c r="I55" t="n">
        <v>14.51</v>
      </c>
      <c r="J55" t="n">
        <v>15.1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π(K) の価格水準感応度（供給曲線v2、円/kW-年、括弧なし=モデル値、_裾補正=×1.25）</t>
        </is>
      </c>
    </row>
    <row r="3">
      <c r="A3" s="5" t="inlineStr">
        <is>
          <t>π_実現可能(K)</t>
        </is>
      </c>
    </row>
    <row r="4">
      <c r="A4" s="6" t="inlineStr">
        <is>
          <t>K(万kW)</t>
        </is>
      </c>
      <c r="B4" s="6" t="inlineStr">
        <is>
          <t>FY2022水準（θ=1.72）</t>
        </is>
      </c>
      <c r="C4" s="6" t="inlineStr">
        <is>
          <t>FY2026上期水準（θ=1.57）</t>
        </is>
      </c>
      <c r="D4" s="6" t="inlineStr">
        <is>
          <t>FY2026上期水準＋泊3号再稼働</t>
        </is>
      </c>
      <c r="E4" s="6" t="inlineStr">
        <is>
          <t>現状（FY2023-25水準 θ=1）</t>
        </is>
      </c>
    </row>
    <row r="5">
      <c r="A5" t="n">
        <v>0</v>
      </c>
      <c r="B5" t="n">
        <v>9733</v>
      </c>
      <c r="C5" t="n">
        <v>8738</v>
      </c>
      <c r="D5" t="n">
        <v>9277</v>
      </c>
      <c r="E5" t="n">
        <v>4943</v>
      </c>
    </row>
    <row r="6">
      <c r="A6" t="n">
        <v>10</v>
      </c>
      <c r="B6" t="n">
        <v>8175</v>
      </c>
      <c r="C6" t="n">
        <v>7315</v>
      </c>
      <c r="D6" t="n">
        <v>7881</v>
      </c>
      <c r="E6" t="n">
        <v>4035</v>
      </c>
    </row>
    <row r="7">
      <c r="A7" t="n">
        <v>25</v>
      </c>
      <c r="B7" t="n">
        <v>5353</v>
      </c>
      <c r="C7" t="n">
        <v>4737</v>
      </c>
      <c r="D7" t="n">
        <v>5480</v>
      </c>
      <c r="E7" t="n">
        <v>2389</v>
      </c>
    </row>
    <row r="8">
      <c r="A8" t="n">
        <v>50</v>
      </c>
      <c r="B8" t="n">
        <v>2995</v>
      </c>
      <c r="C8" t="n">
        <v>2584</v>
      </c>
      <c r="D8" t="n">
        <v>3550</v>
      </c>
      <c r="E8" t="n">
        <v>1015</v>
      </c>
    </row>
    <row r="9">
      <c r="A9" t="n">
        <v>100</v>
      </c>
      <c r="B9" t="n">
        <v>-416</v>
      </c>
      <c r="C9" t="n">
        <v>-532</v>
      </c>
      <c r="D9" t="n">
        <v>345</v>
      </c>
      <c r="E9" t="n">
        <v>-974</v>
      </c>
    </row>
    <row r="10">
      <c r="A10" t="n">
        <v>150</v>
      </c>
      <c r="B10" t="n">
        <v>-1477</v>
      </c>
      <c r="C10" t="n">
        <v>-1501</v>
      </c>
      <c r="D10" t="n">
        <v>-1020</v>
      </c>
      <c r="E10" t="n">
        <v>-1592</v>
      </c>
    </row>
    <row r="11">
      <c r="A11" t="n">
        <v>200</v>
      </c>
      <c r="B11" t="n">
        <v>-1735</v>
      </c>
      <c r="C11" t="n">
        <v>-1736</v>
      </c>
      <c r="D11" t="n">
        <v>-1407</v>
      </c>
      <c r="E11" t="n">
        <v>-1742</v>
      </c>
    </row>
    <row r="12">
      <c r="A12" t="n">
        <v>300</v>
      </c>
      <c r="B12" t="n">
        <v>-1751</v>
      </c>
      <c r="C12" t="n">
        <v>-1751</v>
      </c>
      <c r="D12" t="n">
        <v>-1483</v>
      </c>
      <c r="E12" t="n">
        <v>-1751</v>
      </c>
    </row>
    <row r="15">
      <c r="A15" s="5" t="inlineStr">
        <is>
          <t>π_実現可能_裾補正(K)</t>
        </is>
      </c>
    </row>
    <row r="16">
      <c r="A16" s="6" t="inlineStr">
        <is>
          <t>K(万kW)</t>
        </is>
      </c>
      <c r="B16" s="6" t="inlineStr">
        <is>
          <t>FY2022水準（θ=1.72）</t>
        </is>
      </c>
      <c r="C16" s="6" t="inlineStr">
        <is>
          <t>FY2026上期水準（θ=1.57）</t>
        </is>
      </c>
      <c r="D16" s="6" t="inlineStr">
        <is>
          <t>FY2026上期水準＋泊3号再稼働</t>
        </is>
      </c>
      <c r="E16" s="6" t="inlineStr">
        <is>
          <t>現状（FY2023-25水準 θ=1）</t>
        </is>
      </c>
    </row>
    <row r="17">
      <c r="A17" t="n">
        <v>0</v>
      </c>
      <c r="B17" t="n">
        <v>12572</v>
      </c>
      <c r="C17" t="n">
        <v>11331</v>
      </c>
      <c r="D17" t="n">
        <v>12003</v>
      </c>
      <c r="E17" t="n">
        <v>6598</v>
      </c>
    </row>
    <row r="18">
      <c r="A18" t="n">
        <v>10</v>
      </c>
      <c r="B18" t="n">
        <v>10629</v>
      </c>
      <c r="C18" t="n">
        <v>9556</v>
      </c>
      <c r="D18" t="n">
        <v>10261</v>
      </c>
      <c r="E18" t="n">
        <v>5465</v>
      </c>
    </row>
    <row r="19">
      <c r="A19" t="n">
        <v>25</v>
      </c>
      <c r="B19" t="n">
        <v>7108</v>
      </c>
      <c r="C19" t="n">
        <v>6341</v>
      </c>
      <c r="D19" t="n">
        <v>7267</v>
      </c>
      <c r="E19" t="n">
        <v>3413</v>
      </c>
    </row>
    <row r="20">
      <c r="A20" t="n">
        <v>50</v>
      </c>
      <c r="B20" t="n">
        <v>4168</v>
      </c>
      <c r="C20" t="n">
        <v>3655</v>
      </c>
      <c r="D20" t="n">
        <v>4860</v>
      </c>
      <c r="E20" t="n">
        <v>1699</v>
      </c>
    </row>
    <row r="21">
      <c r="A21" t="n">
        <v>100</v>
      </c>
      <c r="B21" t="n">
        <v>-86</v>
      </c>
      <c r="C21" t="n">
        <v>-231</v>
      </c>
      <c r="D21" t="n">
        <v>863</v>
      </c>
      <c r="E21" t="n">
        <v>-781</v>
      </c>
    </row>
    <row r="22">
      <c r="A22" t="n">
        <v>150</v>
      </c>
      <c r="B22" t="n">
        <v>-1409</v>
      </c>
      <c r="C22" t="n">
        <v>-1439</v>
      </c>
      <c r="D22" t="n">
        <v>-839</v>
      </c>
      <c r="E22" t="n">
        <v>-1552</v>
      </c>
    </row>
    <row r="23">
      <c r="A23" t="n">
        <v>200</v>
      </c>
      <c r="B23" t="n">
        <v>-1730</v>
      </c>
      <c r="C23" t="n">
        <v>-1732</v>
      </c>
      <c r="D23" t="n">
        <v>-1321</v>
      </c>
      <c r="E23" t="n">
        <v>-1739</v>
      </c>
    </row>
    <row r="24">
      <c r="A24" t="n">
        <v>300</v>
      </c>
      <c r="B24" t="n">
        <v>-1751</v>
      </c>
      <c r="C24" t="n">
        <v>-1751</v>
      </c>
      <c r="D24" t="n">
        <v>-1417</v>
      </c>
      <c r="E24" t="n">
        <v>-1751</v>
      </c>
    </row>
    <row r="26">
      <c r="A26" s="5" t="inlineStr">
        <is>
          <t>損益分岐の θ*（K=0）</t>
        </is>
      </c>
    </row>
    <row r="27">
      <c r="A27" s="6" t="inlineStr">
        <is>
          <t>ケース</t>
        </is>
      </c>
      <c r="B27" s="6" t="inlineStr">
        <is>
          <t>必要水準(円/kW-年)</t>
        </is>
      </c>
      <c r="C27" s="6" t="inlineStr">
        <is>
          <t>θ*</t>
        </is>
      </c>
      <c r="D27" s="6" t="inlineStr">
        <is>
          <t>θ*_裾補正</t>
        </is>
      </c>
      <c r="E27" s="6" t="inlineStr">
        <is>
          <t>対FY2026上期(倍)</t>
        </is>
      </c>
      <c r="F27" s="6" t="inlineStr">
        <is>
          <t>対FY2026上期_裾補正(倍)</t>
        </is>
      </c>
    </row>
    <row r="28">
      <c r="A28" t="inlineStr">
        <is>
          <t>標準（容量1.25万・c_req3.45万）</t>
        </is>
      </c>
      <c r="B28" t="n">
        <v>22000</v>
      </c>
      <c r="C28" t="n">
        <v>3.55</v>
      </c>
      <c r="D28" t="n">
        <v>2.84</v>
      </c>
      <c r="E28" t="n">
        <v>2.26</v>
      </c>
      <c r="F28" t="n">
        <v>1.82</v>
      </c>
    </row>
    <row r="29">
      <c r="A29" t="inlineStr">
        <is>
          <t>楽観（容量1.25万・c_req3.2万）</t>
        </is>
      </c>
      <c r="B29" t="n">
        <v>19500</v>
      </c>
      <c r="C29" t="n">
        <v>3.17</v>
      </c>
      <c r="D29" t="n">
        <v>2.55</v>
      </c>
      <c r="E29" t="n">
        <v>2.03</v>
      </c>
      <c r="F29" t="n">
        <v>1.62</v>
      </c>
    </row>
    <row r="30">
      <c r="A30" t="inlineStr">
        <is>
          <t>保守（容量0.83万・c_req3.7万）</t>
        </is>
      </c>
      <c r="B30" t="n">
        <v>28700</v>
      </c>
      <c r="C30" t="n">
        <v>4.55</v>
      </c>
      <c r="D30" t="n">
        <v>3.65</v>
      </c>
      <c r="E30" t="n">
        <v>2.9</v>
      </c>
      <c r="F30" t="n">
        <v>2.33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均衡面 π(K; K_wind, 泊)（供給曲線v2 θ=1、円/kW-年）</t>
        </is>
      </c>
    </row>
    <row r="3">
      <c r="A3" s="5" t="inlineStr">
        <is>
          <t>泊なし</t>
        </is>
      </c>
    </row>
    <row r="4">
      <c r="A4" s="6" t="inlineStr">
        <is>
          <t>K(万kW)</t>
        </is>
      </c>
      <c r="B4" s="6" t="inlineStr">
        <is>
          <t>風力×0.5</t>
        </is>
      </c>
      <c r="C4" s="6" t="inlineStr">
        <is>
          <t>風力×1.0</t>
        </is>
      </c>
      <c r="D4" s="6" t="inlineStr">
        <is>
          <t>風力×1.5</t>
        </is>
      </c>
      <c r="E4" s="6" t="inlineStr">
        <is>
          <t>風力×2.0</t>
        </is>
      </c>
      <c r="F4" s="6" t="inlineStr">
        <is>
          <t>風力×3.0</t>
        </is>
      </c>
    </row>
    <row r="5">
      <c r="A5" t="n">
        <v>0</v>
      </c>
      <c r="B5" t="n">
        <v>4815</v>
      </c>
      <c r="C5" t="n">
        <v>4943</v>
      </c>
      <c r="D5" t="n">
        <v>5116</v>
      </c>
      <c r="E5" t="n">
        <v>5373</v>
      </c>
      <c r="F5" t="n">
        <v>6055</v>
      </c>
    </row>
    <row r="6">
      <c r="A6" t="n">
        <v>10</v>
      </c>
      <c r="B6" t="n">
        <v>3895</v>
      </c>
      <c r="C6" t="n">
        <v>4035</v>
      </c>
      <c r="D6" t="n">
        <v>4210</v>
      </c>
      <c r="E6" t="n">
        <v>4480</v>
      </c>
      <c r="F6" t="n">
        <v>5184</v>
      </c>
    </row>
    <row r="7">
      <c r="A7" t="n">
        <v>25</v>
      </c>
      <c r="B7" t="n">
        <v>2196</v>
      </c>
      <c r="C7" t="n">
        <v>2389</v>
      </c>
      <c r="D7" t="n">
        <v>2610</v>
      </c>
      <c r="E7" t="n">
        <v>2947</v>
      </c>
      <c r="F7" t="n">
        <v>3648</v>
      </c>
    </row>
    <row r="8">
      <c r="A8" t="n">
        <v>50</v>
      </c>
      <c r="B8" t="n">
        <v>823</v>
      </c>
      <c r="C8" t="n">
        <v>1015</v>
      </c>
      <c r="D8" t="n">
        <v>1317</v>
      </c>
      <c r="E8" t="n">
        <v>1628</v>
      </c>
      <c r="F8" t="n">
        <v>2397</v>
      </c>
    </row>
    <row r="9">
      <c r="A9" t="n">
        <v>100</v>
      </c>
      <c r="B9" t="n">
        <v>-1123</v>
      </c>
      <c r="C9" t="n">
        <v>-974</v>
      </c>
      <c r="D9" t="n">
        <v>-742</v>
      </c>
      <c r="E9" t="n">
        <v>-446</v>
      </c>
      <c r="F9" t="n">
        <v>241</v>
      </c>
    </row>
    <row r="10">
      <c r="A10" t="n">
        <v>150</v>
      </c>
      <c r="B10" t="n">
        <v>-1644</v>
      </c>
      <c r="C10" t="n">
        <v>-1592</v>
      </c>
      <c r="D10" t="n">
        <v>-1507</v>
      </c>
      <c r="E10" t="n">
        <v>-1364</v>
      </c>
      <c r="F10" t="n">
        <v>-798</v>
      </c>
    </row>
    <row r="11">
      <c r="A11" t="n">
        <v>200</v>
      </c>
      <c r="B11" t="n">
        <v>-1746</v>
      </c>
      <c r="C11" t="n">
        <v>-1742</v>
      </c>
      <c r="D11" t="n">
        <v>-1717</v>
      </c>
      <c r="E11" t="n">
        <v>-1658</v>
      </c>
      <c r="F11" t="n">
        <v>-1249</v>
      </c>
    </row>
    <row r="14">
      <c r="A14" s="5" t="inlineStr">
        <is>
          <t>泊あり</t>
        </is>
      </c>
    </row>
    <row r="15">
      <c r="A15" s="6" t="inlineStr">
        <is>
          <t>K(万kW)</t>
        </is>
      </c>
      <c r="B15" s="6" t="inlineStr">
        <is>
          <t>風力×0.5</t>
        </is>
      </c>
      <c r="C15" s="6" t="inlineStr">
        <is>
          <t>風力×1.0</t>
        </is>
      </c>
      <c r="D15" s="6" t="inlineStr">
        <is>
          <t>風力×1.5</t>
        </is>
      </c>
      <c r="E15" s="6" t="inlineStr">
        <is>
          <t>風力×2.0</t>
        </is>
      </c>
      <c r="F15" s="6" t="inlineStr">
        <is>
          <t>風力×3.0</t>
        </is>
      </c>
    </row>
    <row r="16">
      <c r="A16" t="n">
        <v>0</v>
      </c>
      <c r="B16" t="n">
        <v>5091</v>
      </c>
      <c r="C16" t="n">
        <v>5287</v>
      </c>
      <c r="D16" t="n">
        <v>5467</v>
      </c>
      <c r="E16" t="n">
        <v>5667</v>
      </c>
      <c r="F16" t="n">
        <v>5582</v>
      </c>
    </row>
    <row r="17">
      <c r="A17" t="n">
        <v>10</v>
      </c>
      <c r="B17" t="n">
        <v>4214</v>
      </c>
      <c r="C17" t="n">
        <v>4396</v>
      </c>
      <c r="D17" t="n">
        <v>4623</v>
      </c>
      <c r="E17" t="n">
        <v>4816</v>
      </c>
      <c r="F17" t="n">
        <v>4903</v>
      </c>
    </row>
    <row r="18">
      <c r="A18" t="n">
        <v>25</v>
      </c>
      <c r="B18" t="n">
        <v>2711</v>
      </c>
      <c r="C18" t="n">
        <v>2863</v>
      </c>
      <c r="D18" t="n">
        <v>3117</v>
      </c>
      <c r="E18" t="n">
        <v>3404</v>
      </c>
      <c r="F18" t="n">
        <v>3658</v>
      </c>
    </row>
    <row r="19">
      <c r="A19" t="n">
        <v>50</v>
      </c>
      <c r="B19" t="n">
        <v>1464</v>
      </c>
      <c r="C19" t="n">
        <v>1631</v>
      </c>
      <c r="D19" t="n">
        <v>1843</v>
      </c>
      <c r="E19" t="n">
        <v>2192</v>
      </c>
      <c r="F19" t="n">
        <v>2625</v>
      </c>
    </row>
    <row r="20">
      <c r="A20" t="n">
        <v>100</v>
      </c>
      <c r="B20" t="n">
        <v>-579</v>
      </c>
      <c r="C20" t="n">
        <v>-414</v>
      </c>
      <c r="D20" t="n">
        <v>-188</v>
      </c>
      <c r="E20" t="n">
        <v>129</v>
      </c>
      <c r="F20" t="n">
        <v>830</v>
      </c>
    </row>
    <row r="21">
      <c r="A21" t="n">
        <v>150</v>
      </c>
      <c r="B21" t="n">
        <v>-1393</v>
      </c>
      <c r="C21" t="n">
        <v>-1285</v>
      </c>
      <c r="D21" t="n">
        <v>-1065</v>
      </c>
      <c r="E21" t="n">
        <v>-746</v>
      </c>
      <c r="F21" t="n">
        <v>-69</v>
      </c>
    </row>
    <row r="22">
      <c r="A22" t="n">
        <v>200</v>
      </c>
      <c r="B22" t="n">
        <v>-1629</v>
      </c>
      <c r="C22" t="n">
        <v>-1532</v>
      </c>
      <c r="D22" t="n">
        <v>-1355</v>
      </c>
      <c r="E22" t="n">
        <v>-1058</v>
      </c>
      <c r="F22" t="n">
        <v>-387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break-even フロンティア: θ*(資本費, 実効容量収入)・K* 格子・P_cap(K)</t>
        </is>
      </c>
    </row>
    <row r="3">
      <c r="A3" s="5" t="inlineStr">
        <is>
          <t>θ*（WACC 5%）</t>
        </is>
      </c>
    </row>
    <row r="4">
      <c r="A4" s="6" t="inlineStr">
        <is>
          <t>資本費(万円/kWh)</t>
        </is>
      </c>
      <c r="B4" s="6" t="inlineStr">
        <is>
          <t>0.83万（発動指令）</t>
        </is>
      </c>
      <c r="C4" s="6" t="inlineStr">
        <is>
          <t>0（容量収入なし）</t>
        </is>
      </c>
      <c r="D4" s="6" t="inlineStr">
        <is>
          <t>1.25万（現行・安定電源）</t>
        </is>
      </c>
      <c r="E4" s="6" t="inlineStr">
        <is>
          <t>1.75万（2030年度向けNet CONE 20,911円）</t>
        </is>
      </c>
      <c r="F4" s="6" t="inlineStr">
        <is>
          <t>2.5万（上限近傍3万円）</t>
        </is>
      </c>
    </row>
    <row r="5">
      <c r="A5" t="n">
        <v>2.3</v>
      </c>
      <c r="B5" t="n">
        <v>1.95</v>
      </c>
      <c r="C5" t="n">
        <v>3.19</v>
      </c>
      <c r="D5" t="n">
        <v>1.32</v>
      </c>
      <c r="E5" t="n">
        <v>0.58</v>
      </c>
      <c r="F5" t="n">
        <v>-0.5600000000000001</v>
      </c>
    </row>
    <row r="6">
      <c r="A6" t="n">
        <v>3</v>
      </c>
      <c r="B6" t="n">
        <v>2.28</v>
      </c>
      <c r="C6" t="n">
        <v>3.52</v>
      </c>
      <c r="D6" t="n">
        <v>1.66</v>
      </c>
      <c r="E6" t="n">
        <v>0.91</v>
      </c>
      <c r="F6" t="n">
        <v>-0.22</v>
      </c>
    </row>
    <row r="7">
      <c r="A7" t="n">
        <v>4</v>
      </c>
      <c r="B7" t="n">
        <v>2.76</v>
      </c>
      <c r="C7" t="n">
        <v>4</v>
      </c>
      <c r="D7" t="n">
        <v>2.13</v>
      </c>
      <c r="E7" t="n">
        <v>1.39</v>
      </c>
      <c r="F7" t="n">
        <v>0.26</v>
      </c>
    </row>
    <row r="8">
      <c r="A8" t="n">
        <v>5</v>
      </c>
      <c r="B8" t="n">
        <v>3.24</v>
      </c>
      <c r="C8" t="n">
        <v>4.48</v>
      </c>
      <c r="D8" t="n">
        <v>2.61</v>
      </c>
      <c r="E8" t="n">
        <v>1.87</v>
      </c>
      <c r="F8" t="n">
        <v>0.73</v>
      </c>
    </row>
    <row r="9">
      <c r="A9" t="n">
        <v>6</v>
      </c>
      <c r="B9" t="n">
        <v>3.72</v>
      </c>
      <c r="C9" t="n">
        <v>4.96</v>
      </c>
      <c r="D9" t="n">
        <v>3.09</v>
      </c>
      <c r="E9" t="n">
        <v>2.35</v>
      </c>
      <c r="F9" t="n">
        <v>1.21</v>
      </c>
    </row>
    <row r="10">
      <c r="A10" t="n">
        <v>6.8</v>
      </c>
      <c r="B10" t="n">
        <v>4.1</v>
      </c>
      <c r="C10" t="n">
        <v>5.34</v>
      </c>
      <c r="D10" t="n">
        <v>3.48</v>
      </c>
      <c r="E10" t="n">
        <v>2.73</v>
      </c>
      <c r="F10" t="n">
        <v>1.6</v>
      </c>
    </row>
    <row r="12">
      <c r="A12" s="5" t="inlineStr">
        <is>
          <t>θ*（WACC 6%）</t>
        </is>
      </c>
    </row>
    <row r="13">
      <c r="A13" s="6" t="inlineStr">
        <is>
          <t>資本費(万円/kWh)</t>
        </is>
      </c>
      <c r="B13" s="6" t="inlineStr">
        <is>
          <t>0.83万（発動指令）</t>
        </is>
      </c>
      <c r="C13" s="6" t="inlineStr">
        <is>
          <t>0（容量収入なし）</t>
        </is>
      </c>
      <c r="D13" s="6" t="inlineStr">
        <is>
          <t>1.25万（現行・安定電源）</t>
        </is>
      </c>
      <c r="E13" s="6" t="inlineStr">
        <is>
          <t>1.75万（2030年度向けNet CONE 20,911円）</t>
        </is>
      </c>
      <c r="F13" s="6" t="inlineStr">
        <is>
          <t>2.5万（上限近傍3万円）</t>
        </is>
      </c>
    </row>
    <row r="14">
      <c r="A14" t="n">
        <v>2.3</v>
      </c>
      <c r="B14" t="n">
        <v>2.04</v>
      </c>
      <c r="C14" t="n">
        <v>3.28</v>
      </c>
      <c r="D14" t="n">
        <v>1.42</v>
      </c>
      <c r="E14" t="n">
        <v>0.67</v>
      </c>
      <c r="F14" t="n">
        <v>-0.46</v>
      </c>
    </row>
    <row r="15">
      <c r="A15" t="n">
        <v>3</v>
      </c>
      <c r="B15" t="n">
        <v>2.41</v>
      </c>
      <c r="C15" t="n">
        <v>3.65</v>
      </c>
      <c r="D15" t="n">
        <v>1.78</v>
      </c>
      <c r="E15" t="n">
        <v>1.04</v>
      </c>
      <c r="F15" t="n">
        <v>-0.1</v>
      </c>
    </row>
    <row r="16">
      <c r="A16" t="n">
        <v>4</v>
      </c>
      <c r="B16" t="n">
        <v>2.93</v>
      </c>
      <c r="C16" t="n">
        <v>4.17</v>
      </c>
      <c r="D16" t="n">
        <v>2.3</v>
      </c>
      <c r="E16" t="n">
        <v>1.56</v>
      </c>
      <c r="F16" t="n">
        <v>0.42</v>
      </c>
    </row>
    <row r="17">
      <c r="A17" t="n">
        <v>5</v>
      </c>
      <c r="B17" t="n">
        <v>3.45</v>
      </c>
      <c r="C17" t="n">
        <v>4.69</v>
      </c>
      <c r="D17" t="n">
        <v>2.82</v>
      </c>
      <c r="E17" t="n">
        <v>2.08</v>
      </c>
      <c r="F17" t="n">
        <v>0.9399999999999999</v>
      </c>
    </row>
    <row r="18">
      <c r="A18" t="n">
        <v>6</v>
      </c>
      <c r="B18" t="n">
        <v>3.97</v>
      </c>
      <c r="C18" t="n">
        <v>5.21</v>
      </c>
      <c r="D18" t="n">
        <v>3.34</v>
      </c>
      <c r="E18" t="n">
        <v>2.6</v>
      </c>
      <c r="F18" t="n">
        <v>1.46</v>
      </c>
    </row>
    <row r="19">
      <c r="A19" t="n">
        <v>6.8</v>
      </c>
      <c r="B19" t="n">
        <v>4.39</v>
      </c>
      <c r="C19" t="n">
        <v>5.63</v>
      </c>
      <c r="D19" t="n">
        <v>3.76</v>
      </c>
      <c r="E19" t="n">
        <v>3.02</v>
      </c>
      <c r="F19" t="n">
        <v>1.88</v>
      </c>
    </row>
    <row r="21">
      <c r="A21" s="5" t="inlineStr">
        <is>
          <t>θ*（WACC 8%）</t>
        </is>
      </c>
    </row>
    <row r="22">
      <c r="A22" s="6" t="inlineStr">
        <is>
          <t>資本費(万円/kWh)</t>
        </is>
      </c>
      <c r="B22" s="6" t="inlineStr">
        <is>
          <t>0.83万（発動指令）</t>
        </is>
      </c>
      <c r="C22" s="6" t="inlineStr">
        <is>
          <t>0（容量収入なし）</t>
        </is>
      </c>
      <c r="D22" s="6" t="inlineStr">
        <is>
          <t>1.25万（現行・安定電源）</t>
        </is>
      </c>
      <c r="E22" s="6" t="inlineStr">
        <is>
          <t>1.75万（2030年度向けNet CONE 20,911円）</t>
        </is>
      </c>
      <c r="F22" s="6" t="inlineStr">
        <is>
          <t>2.5万（上限近傍3万円）</t>
        </is>
      </c>
    </row>
    <row r="23">
      <c r="A23" t="n">
        <v>2.3</v>
      </c>
      <c r="B23" t="n">
        <v>2.24</v>
      </c>
      <c r="C23" t="n">
        <v>3.48</v>
      </c>
      <c r="D23" t="n">
        <v>1.62</v>
      </c>
      <c r="E23" t="n">
        <v>0.87</v>
      </c>
      <c r="F23" t="n">
        <v>-0.26</v>
      </c>
    </row>
    <row r="24">
      <c r="A24" t="n">
        <v>3</v>
      </c>
      <c r="B24" t="n">
        <v>2.67</v>
      </c>
      <c r="C24" t="n">
        <v>3.91</v>
      </c>
      <c r="D24" t="n">
        <v>2.04</v>
      </c>
      <c r="E24" t="n">
        <v>1.3</v>
      </c>
      <c r="F24" t="n">
        <v>0.16</v>
      </c>
    </row>
    <row r="25">
      <c r="A25" t="n">
        <v>4</v>
      </c>
      <c r="B25" t="n">
        <v>3.28</v>
      </c>
      <c r="C25" t="n">
        <v>4.52</v>
      </c>
      <c r="D25" t="n">
        <v>2.65</v>
      </c>
      <c r="E25" t="n">
        <v>1.91</v>
      </c>
      <c r="F25" t="n">
        <v>0.77</v>
      </c>
    </row>
    <row r="26">
      <c r="A26" t="n">
        <v>5</v>
      </c>
      <c r="B26" t="n">
        <v>3.89</v>
      </c>
      <c r="C26" t="n">
        <v>5.13</v>
      </c>
      <c r="D26" t="n">
        <v>3.26</v>
      </c>
      <c r="E26" t="n">
        <v>2.52</v>
      </c>
      <c r="F26" t="n">
        <v>1.38</v>
      </c>
    </row>
    <row r="27">
      <c r="A27" t="n">
        <v>6</v>
      </c>
      <c r="B27" t="n">
        <v>4.5</v>
      </c>
      <c r="C27" t="n">
        <v>5.74</v>
      </c>
      <c r="D27" t="n">
        <v>3.87</v>
      </c>
      <c r="E27" t="n">
        <v>3.12</v>
      </c>
      <c r="F27" t="n">
        <v>1.99</v>
      </c>
    </row>
    <row r="28">
      <c r="A28" t="n">
        <v>6.8</v>
      </c>
      <c r="B28" t="n">
        <v>4.98</v>
      </c>
      <c r="C28" t="n">
        <v>6.22</v>
      </c>
      <c r="D28" t="n">
        <v>4.36</v>
      </c>
      <c r="E28" t="n">
        <v>3.61</v>
      </c>
      <c r="F28" t="n">
        <v>2.48</v>
      </c>
    </row>
    <row r="30">
      <c r="A30" s="5" t="inlineStr">
        <is>
          <t>K* 格子（万kW、WACC6%）</t>
        </is>
      </c>
    </row>
    <row r="31">
      <c r="A31" s="6" t="inlineStr">
        <is>
          <t>θ</t>
        </is>
      </c>
      <c r="B31" s="6" t="inlineStr">
        <is>
          <t>資本費(万円/kWh)</t>
        </is>
      </c>
      <c r="C31" s="6" t="inlineStr">
        <is>
          <t>κP_cap</t>
        </is>
      </c>
      <c r="D31" s="6" t="inlineStr">
        <is>
          <t>K*_容量定数(万kW)</t>
        </is>
      </c>
      <c r="E31" s="6" t="inlineStr">
        <is>
          <t>K*_北海道按分(万kW)</t>
        </is>
      </c>
      <c r="F31" s="6" t="inlineStr">
        <is>
          <t>K*_全国連系(万kW)</t>
        </is>
      </c>
    </row>
    <row r="32">
      <c r="A32" t="inlineStr">
        <is>
          <t>θ=1（FY2023-25）</t>
        </is>
      </c>
      <c r="B32" t="n">
        <v>2.3</v>
      </c>
      <c r="C32" t="inlineStr">
        <is>
          <t>1.25万</t>
        </is>
      </c>
      <c r="D32" t="n">
        <v>0</v>
      </c>
      <c r="E32" t="n">
        <v>0</v>
      </c>
      <c r="F32" t="n">
        <v>0</v>
      </c>
    </row>
    <row r="33">
      <c r="A33" t="inlineStr">
        <is>
          <t>θ=1（FY2023-25）</t>
        </is>
      </c>
      <c r="B33" t="n">
        <v>2.3</v>
      </c>
      <c r="C33" t="inlineStr">
        <is>
          <t>1.75万</t>
        </is>
      </c>
      <c r="D33" t="n">
        <v>21</v>
      </c>
      <c r="E33" t="n">
        <v>2</v>
      </c>
      <c r="F33" t="n">
        <v>17</v>
      </c>
    </row>
    <row r="34">
      <c r="A34" t="inlineStr">
        <is>
          <t>θ=1（FY2023-25）</t>
        </is>
      </c>
      <c r="B34" t="n">
        <v>2.3</v>
      </c>
      <c r="C34" t="inlineStr">
        <is>
          <t>2.5万</t>
        </is>
      </c>
      <c r="D34" t="n">
        <v>200</v>
      </c>
      <c r="E34" t="n">
        <v>15</v>
      </c>
      <c r="F34" t="n">
        <v>119</v>
      </c>
    </row>
    <row r="35">
      <c r="A35" t="inlineStr">
        <is>
          <t>θ=1（FY2023-25）</t>
        </is>
      </c>
      <c r="B35" t="n">
        <v>4</v>
      </c>
      <c r="C35" t="inlineStr">
        <is>
          <t>1.25万</t>
        </is>
      </c>
      <c r="D35" t="n">
        <v>0</v>
      </c>
      <c r="E35" t="n">
        <v>0</v>
      </c>
      <c r="F35" t="n">
        <v>0</v>
      </c>
    </row>
    <row r="36">
      <c r="A36" t="inlineStr">
        <is>
          <t>θ=1（FY2023-25）</t>
        </is>
      </c>
      <c r="B36" t="n">
        <v>4</v>
      </c>
      <c r="C36" t="inlineStr">
        <is>
          <t>1.75万</t>
        </is>
      </c>
      <c r="D36" t="n">
        <v>0</v>
      </c>
      <c r="E36" t="n">
        <v>0</v>
      </c>
      <c r="F36" t="n">
        <v>0</v>
      </c>
    </row>
    <row r="37">
      <c r="A37" t="inlineStr">
        <is>
          <t>θ=1（FY2023-25）</t>
        </is>
      </c>
      <c r="B37" t="n">
        <v>4</v>
      </c>
      <c r="C37" t="inlineStr">
        <is>
          <t>2.5万</t>
        </is>
      </c>
      <c r="D37" t="n">
        <v>49</v>
      </c>
      <c r="E37" t="n">
        <v>3</v>
      </c>
      <c r="F37" t="n">
        <v>31</v>
      </c>
    </row>
    <row r="38">
      <c r="A38" t="inlineStr">
        <is>
          <t>θ=1（FY2023-25）</t>
        </is>
      </c>
      <c r="B38" t="n">
        <v>6.8</v>
      </c>
      <c r="C38" t="inlineStr">
        <is>
          <t>1.25万</t>
        </is>
      </c>
      <c r="D38" t="n">
        <v>0</v>
      </c>
      <c r="E38" t="n">
        <v>0</v>
      </c>
      <c r="F38" t="n">
        <v>0</v>
      </c>
    </row>
    <row r="39">
      <c r="A39" t="inlineStr">
        <is>
          <t>θ=1（FY2023-25）</t>
        </is>
      </c>
      <c r="B39" t="n">
        <v>6.8</v>
      </c>
      <c r="C39" t="inlineStr">
        <is>
          <t>1.75万</t>
        </is>
      </c>
      <c r="D39" t="n">
        <v>0</v>
      </c>
      <c r="E39" t="n">
        <v>0</v>
      </c>
      <c r="F39" t="n">
        <v>0</v>
      </c>
    </row>
    <row r="40">
      <c r="A40" t="inlineStr">
        <is>
          <t>θ=1（FY2023-25）</t>
        </is>
      </c>
      <c r="B40" t="n">
        <v>6.8</v>
      </c>
      <c r="C40" t="inlineStr">
        <is>
          <t>2.5万</t>
        </is>
      </c>
      <c r="D40" t="n">
        <v>0</v>
      </c>
      <c r="E40" t="n">
        <v>0</v>
      </c>
      <c r="F40" t="n">
        <v>0</v>
      </c>
    </row>
    <row r="41">
      <c r="A41" t="inlineStr">
        <is>
          <t>θ=1.57（FY2026上期）</t>
        </is>
      </c>
      <c r="B41" t="n">
        <v>2.3</v>
      </c>
      <c r="C41" t="inlineStr">
        <is>
          <t>1.25万</t>
        </is>
      </c>
      <c r="D41" t="n">
        <v>7</v>
      </c>
      <c r="E41" t="n">
        <v>0</v>
      </c>
      <c r="F41" t="n">
        <v>5</v>
      </c>
    </row>
    <row r="42">
      <c r="A42" t="inlineStr">
        <is>
          <t>θ=1.57（FY2026上期）</t>
        </is>
      </c>
      <c r="B42" t="n">
        <v>2.3</v>
      </c>
      <c r="C42" t="inlineStr">
        <is>
          <t>1.75万</t>
        </is>
      </c>
      <c r="D42" t="n">
        <v>48</v>
      </c>
      <c r="E42" t="n">
        <v>6</v>
      </c>
      <c r="F42" t="n">
        <v>35</v>
      </c>
    </row>
    <row r="43">
      <c r="A43" t="inlineStr">
        <is>
          <t>θ=1.57（FY2026上期）</t>
        </is>
      </c>
      <c r="B43" t="n">
        <v>2.3</v>
      </c>
      <c r="C43" t="inlineStr">
        <is>
          <t>2.5万</t>
        </is>
      </c>
      <c r="D43" t="n">
        <v>200</v>
      </c>
      <c r="E43" t="n">
        <v>20</v>
      </c>
      <c r="F43" t="n">
        <v>125</v>
      </c>
    </row>
    <row r="44">
      <c r="A44" t="inlineStr">
        <is>
          <t>θ=1.57（FY2026上期）</t>
        </is>
      </c>
      <c r="B44" t="n">
        <v>4</v>
      </c>
      <c r="C44" t="inlineStr">
        <is>
          <t>1.25万</t>
        </is>
      </c>
      <c r="D44" t="n">
        <v>0</v>
      </c>
      <c r="E44" t="n">
        <v>0</v>
      </c>
      <c r="F44" t="n">
        <v>0</v>
      </c>
    </row>
    <row r="45">
      <c r="A45" t="inlineStr">
        <is>
          <t>θ=1.57（FY2026上期）</t>
        </is>
      </c>
      <c r="B45" t="n">
        <v>4</v>
      </c>
      <c r="C45" t="inlineStr">
        <is>
          <t>1.75万</t>
        </is>
      </c>
      <c r="D45" t="n">
        <v>0</v>
      </c>
      <c r="E45" t="n">
        <v>0</v>
      </c>
      <c r="F45" t="n">
        <v>0</v>
      </c>
    </row>
    <row r="46">
      <c r="A46" t="inlineStr">
        <is>
          <t>θ=1.57（FY2026上期）</t>
        </is>
      </c>
      <c r="B46" t="n">
        <v>4</v>
      </c>
      <c r="C46" t="inlineStr">
        <is>
          <t>2.5万</t>
        </is>
      </c>
      <c r="D46" t="n">
        <v>74</v>
      </c>
      <c r="E46" t="n">
        <v>10</v>
      </c>
      <c r="F46" t="n">
        <v>49</v>
      </c>
    </row>
    <row r="47">
      <c r="A47" t="inlineStr">
        <is>
          <t>θ=1.57（FY2026上期）</t>
        </is>
      </c>
      <c r="B47" t="n">
        <v>6.8</v>
      </c>
      <c r="C47" t="inlineStr">
        <is>
          <t>1.25万</t>
        </is>
      </c>
      <c r="D47" t="n">
        <v>0</v>
      </c>
      <c r="E47" t="n">
        <v>0</v>
      </c>
      <c r="F47" t="n">
        <v>0</v>
      </c>
    </row>
    <row r="48">
      <c r="A48" t="inlineStr">
        <is>
          <t>θ=1.57（FY2026上期）</t>
        </is>
      </c>
      <c r="B48" t="n">
        <v>6.8</v>
      </c>
      <c r="C48" t="inlineStr">
        <is>
          <t>1.75万</t>
        </is>
      </c>
      <c r="D48" t="n">
        <v>0</v>
      </c>
      <c r="E48" t="n">
        <v>0</v>
      </c>
      <c r="F48" t="n">
        <v>0</v>
      </c>
    </row>
    <row r="49">
      <c r="A49" t="inlineStr">
        <is>
          <t>θ=1.57（FY2026上期）</t>
        </is>
      </c>
      <c r="B49" t="n">
        <v>6.8</v>
      </c>
      <c r="C49" t="inlineStr">
        <is>
          <t>2.5万</t>
        </is>
      </c>
      <c r="D49" t="n">
        <v>0</v>
      </c>
      <c r="E49" t="n">
        <v>0</v>
      </c>
      <c r="F49" t="n">
        <v>0</v>
      </c>
    </row>
    <row r="50">
      <c r="A50" t="inlineStr">
        <is>
          <t>θ=1.72（FY2022）</t>
        </is>
      </c>
      <c r="B50" t="n">
        <v>2.3</v>
      </c>
      <c r="C50" t="inlineStr">
        <is>
          <t>1.25万</t>
        </is>
      </c>
      <c r="D50" t="n">
        <v>12</v>
      </c>
      <c r="E50" t="n">
        <v>1</v>
      </c>
      <c r="F50" t="n">
        <v>10</v>
      </c>
    </row>
    <row r="51">
      <c r="A51" t="inlineStr">
        <is>
          <t>θ=1.72（FY2022）</t>
        </is>
      </c>
      <c r="B51" t="n">
        <v>2.3</v>
      </c>
      <c r="C51" t="inlineStr">
        <is>
          <t>1.75万</t>
        </is>
      </c>
      <c r="D51" t="n">
        <v>53</v>
      </c>
      <c r="E51" t="n">
        <v>8</v>
      </c>
      <c r="F51" t="n">
        <v>39</v>
      </c>
    </row>
    <row r="52">
      <c r="A52" t="inlineStr">
        <is>
          <t>θ=1.72（FY2022）</t>
        </is>
      </c>
      <c r="B52" t="n">
        <v>2.3</v>
      </c>
      <c r="C52" t="inlineStr">
        <is>
          <t>2.5万</t>
        </is>
      </c>
      <c r="D52" t="n">
        <v>200</v>
      </c>
      <c r="E52" t="n">
        <v>21</v>
      </c>
      <c r="F52" t="n">
        <v>126</v>
      </c>
    </row>
    <row r="53">
      <c r="A53" t="inlineStr">
        <is>
          <t>θ=1.72（FY2022）</t>
        </is>
      </c>
      <c r="B53" t="n">
        <v>4</v>
      </c>
      <c r="C53" t="inlineStr">
        <is>
          <t>1.25万</t>
        </is>
      </c>
      <c r="D53" t="n">
        <v>0</v>
      </c>
      <c r="E53" t="n">
        <v>0</v>
      </c>
      <c r="F53" t="n">
        <v>0</v>
      </c>
    </row>
    <row r="54">
      <c r="A54" t="inlineStr">
        <is>
          <t>θ=1.72（FY2022）</t>
        </is>
      </c>
      <c r="B54" t="n">
        <v>4</v>
      </c>
      <c r="C54" t="inlineStr">
        <is>
          <t>1.75万</t>
        </is>
      </c>
      <c r="D54" t="n">
        <v>6</v>
      </c>
      <c r="E54" t="n">
        <v>0</v>
      </c>
      <c r="F54" t="n">
        <v>5</v>
      </c>
    </row>
    <row r="55">
      <c r="A55" t="inlineStr">
        <is>
          <t>θ=1.72（FY2022）</t>
        </is>
      </c>
      <c r="B55" t="n">
        <v>4</v>
      </c>
      <c r="C55" t="inlineStr">
        <is>
          <t>2.5万</t>
        </is>
      </c>
      <c r="D55" t="n">
        <v>78</v>
      </c>
      <c r="E55" t="n">
        <v>11</v>
      </c>
      <c r="F55" t="n">
        <v>54</v>
      </c>
    </row>
    <row r="56">
      <c r="A56" t="inlineStr">
        <is>
          <t>θ=1.72（FY2022）</t>
        </is>
      </c>
      <c r="B56" t="n">
        <v>6.8</v>
      </c>
      <c r="C56" t="inlineStr">
        <is>
          <t>1.25万</t>
        </is>
      </c>
      <c r="D56" t="n">
        <v>0</v>
      </c>
      <c r="E56" t="n">
        <v>0</v>
      </c>
      <c r="F56" t="n">
        <v>0</v>
      </c>
    </row>
    <row r="57">
      <c r="A57" t="inlineStr">
        <is>
          <t>θ=1.72（FY2022）</t>
        </is>
      </c>
      <c r="B57" t="n">
        <v>6.8</v>
      </c>
      <c r="C57" t="inlineStr">
        <is>
          <t>1.75万</t>
        </is>
      </c>
      <c r="D57" t="n">
        <v>0</v>
      </c>
      <c r="E57" t="n">
        <v>0</v>
      </c>
      <c r="F57" t="n">
        <v>0</v>
      </c>
    </row>
    <row r="58">
      <c r="A58" t="inlineStr">
        <is>
          <t>θ=1.72（FY2022）</t>
        </is>
      </c>
      <c r="B58" t="n">
        <v>6.8</v>
      </c>
      <c r="C58" t="inlineStr">
        <is>
          <t>2.5万</t>
        </is>
      </c>
      <c r="D58" t="n">
        <v>0</v>
      </c>
      <c r="E58" t="n">
        <v>0</v>
      </c>
      <c r="F58" t="n">
        <v>0</v>
      </c>
    </row>
    <row r="59">
      <c r="A59" t="inlineStr">
        <is>
          <t>θ=2.5</t>
        </is>
      </c>
      <c r="B59" t="n">
        <v>2.3</v>
      </c>
      <c r="C59" t="inlineStr">
        <is>
          <t>1.25万</t>
        </is>
      </c>
      <c r="D59" t="n">
        <v>31</v>
      </c>
      <c r="E59" t="n">
        <v>7</v>
      </c>
      <c r="F59" t="n">
        <v>25</v>
      </c>
    </row>
    <row r="60">
      <c r="A60" t="inlineStr">
        <is>
          <t>θ=2.5</t>
        </is>
      </c>
      <c r="B60" t="n">
        <v>2.3</v>
      </c>
      <c r="C60" t="inlineStr">
        <is>
          <t>1.75万</t>
        </is>
      </c>
      <c r="D60" t="n">
        <v>74</v>
      </c>
      <c r="E60" t="n">
        <v>15</v>
      </c>
      <c r="F60" t="n">
        <v>56</v>
      </c>
    </row>
    <row r="61">
      <c r="A61" t="inlineStr">
        <is>
          <t>θ=2.5</t>
        </is>
      </c>
      <c r="B61" t="n">
        <v>2.3</v>
      </c>
      <c r="C61" t="inlineStr">
        <is>
          <t>2.5万</t>
        </is>
      </c>
      <c r="D61" t="n">
        <v>200</v>
      </c>
      <c r="E61" t="n">
        <v>31</v>
      </c>
      <c r="F61" t="n">
        <v>132</v>
      </c>
    </row>
    <row r="62">
      <c r="A62" t="inlineStr">
        <is>
          <t>θ=2.5</t>
        </is>
      </c>
      <c r="B62" t="n">
        <v>4</v>
      </c>
      <c r="C62" t="inlineStr">
        <is>
          <t>1.25万</t>
        </is>
      </c>
      <c r="D62" t="n">
        <v>5</v>
      </c>
      <c r="E62" t="n">
        <v>1</v>
      </c>
      <c r="F62" t="n">
        <v>5</v>
      </c>
    </row>
    <row r="63">
      <c r="A63" t="inlineStr">
        <is>
          <t>θ=2.5</t>
        </is>
      </c>
      <c r="B63" t="n">
        <v>4</v>
      </c>
      <c r="C63" t="inlineStr">
        <is>
          <t>1.75万</t>
        </is>
      </c>
      <c r="D63" t="n">
        <v>24</v>
      </c>
      <c r="E63" t="n">
        <v>6</v>
      </c>
      <c r="F63" t="n">
        <v>22</v>
      </c>
    </row>
    <row r="64">
      <c r="A64" t="inlineStr">
        <is>
          <t>θ=2.5</t>
        </is>
      </c>
      <c r="B64" t="n">
        <v>4</v>
      </c>
      <c r="C64" t="inlineStr">
        <is>
          <t>2.5万</t>
        </is>
      </c>
      <c r="D64" t="n">
        <v>91</v>
      </c>
      <c r="E64" t="n">
        <v>18</v>
      </c>
      <c r="F64" t="n">
        <v>69</v>
      </c>
    </row>
    <row r="65">
      <c r="A65" t="inlineStr">
        <is>
          <t>θ=2.5</t>
        </is>
      </c>
      <c r="B65" t="n">
        <v>6.8</v>
      </c>
      <c r="C65" t="inlineStr">
        <is>
          <t>1.25万</t>
        </is>
      </c>
      <c r="D65" t="n">
        <v>0</v>
      </c>
      <c r="E65" t="n">
        <v>0</v>
      </c>
      <c r="F65" t="n">
        <v>0</v>
      </c>
    </row>
    <row r="66">
      <c r="A66" t="inlineStr">
        <is>
          <t>θ=2.5</t>
        </is>
      </c>
      <c r="B66" t="n">
        <v>6.8</v>
      </c>
      <c r="C66" t="inlineStr">
        <is>
          <t>1.75万</t>
        </is>
      </c>
      <c r="D66" t="n">
        <v>0</v>
      </c>
      <c r="E66" t="n">
        <v>0</v>
      </c>
      <c r="F66" t="n">
        <v>0</v>
      </c>
    </row>
    <row r="67">
      <c r="A67" t="inlineStr">
        <is>
          <t>θ=2.5</t>
        </is>
      </c>
      <c r="B67" t="n">
        <v>6.8</v>
      </c>
      <c r="C67" t="inlineStr">
        <is>
          <t>2.5万</t>
        </is>
      </c>
      <c r="D67" t="n">
        <v>16</v>
      </c>
      <c r="E67" t="n">
        <v>3</v>
      </c>
      <c r="F67" t="n">
        <v>15</v>
      </c>
    </row>
    <row r="68">
      <c r="A68" t="inlineStr">
        <is>
          <t>θ=3.0</t>
        </is>
      </c>
      <c r="B68" t="n">
        <v>2.3</v>
      </c>
      <c r="C68" t="inlineStr">
        <is>
          <t>1.25万</t>
        </is>
      </c>
      <c r="D68" t="n">
        <v>42</v>
      </c>
      <c r="E68" t="n">
        <v>12</v>
      </c>
      <c r="F68" t="n">
        <v>36</v>
      </c>
    </row>
    <row r="69">
      <c r="A69" t="inlineStr">
        <is>
          <t>θ=3.0</t>
        </is>
      </c>
      <c r="B69" t="n">
        <v>2.3</v>
      </c>
      <c r="C69" t="inlineStr">
        <is>
          <t>1.75万</t>
        </is>
      </c>
      <c r="D69" t="n">
        <v>81</v>
      </c>
      <c r="E69" t="n">
        <v>19</v>
      </c>
      <c r="F69" t="n">
        <v>65</v>
      </c>
    </row>
    <row r="70">
      <c r="A70" t="inlineStr">
        <is>
          <t>θ=3.0</t>
        </is>
      </c>
      <c r="B70" t="n">
        <v>2.3</v>
      </c>
      <c r="C70" t="inlineStr">
        <is>
          <t>2.5万</t>
        </is>
      </c>
      <c r="D70" t="n">
        <v>200</v>
      </c>
      <c r="E70" t="n">
        <v>43</v>
      </c>
      <c r="F70" t="n">
        <v>135</v>
      </c>
    </row>
    <row r="71">
      <c r="A71" t="inlineStr">
        <is>
          <t>θ=3.0</t>
        </is>
      </c>
      <c r="B71" t="n">
        <v>4</v>
      </c>
      <c r="C71" t="inlineStr">
        <is>
          <t>1.25万</t>
        </is>
      </c>
      <c r="D71" t="n">
        <v>15</v>
      </c>
      <c r="E71" t="n">
        <v>3</v>
      </c>
      <c r="F71" t="n">
        <v>14</v>
      </c>
    </row>
    <row r="72">
      <c r="A72" t="inlineStr">
        <is>
          <t>θ=3.0</t>
        </is>
      </c>
      <c r="B72" t="n">
        <v>4</v>
      </c>
      <c r="C72" t="inlineStr">
        <is>
          <t>1.75万</t>
        </is>
      </c>
      <c r="D72" t="n">
        <v>37</v>
      </c>
      <c r="E72" t="n">
        <v>11</v>
      </c>
      <c r="F72" t="n">
        <v>31</v>
      </c>
    </row>
    <row r="73">
      <c r="A73" t="inlineStr">
        <is>
          <t>θ=3.0</t>
        </is>
      </c>
      <c r="B73" t="n">
        <v>4</v>
      </c>
      <c r="C73" t="inlineStr">
        <is>
          <t>2.5万</t>
        </is>
      </c>
      <c r="D73" t="n">
        <v>95</v>
      </c>
      <c r="E73" t="n">
        <v>21</v>
      </c>
      <c r="F73" t="n">
        <v>76</v>
      </c>
    </row>
    <row r="74">
      <c r="A74" t="inlineStr">
        <is>
          <t>θ=3.0</t>
        </is>
      </c>
      <c r="B74" t="n">
        <v>6.8</v>
      </c>
      <c r="C74" t="inlineStr">
        <is>
          <t>1.25万</t>
        </is>
      </c>
      <c r="D74" t="n">
        <v>0</v>
      </c>
      <c r="E74" t="n">
        <v>0</v>
      </c>
      <c r="F74" t="n">
        <v>0</v>
      </c>
    </row>
    <row r="75">
      <c r="A75" t="inlineStr">
        <is>
          <t>θ=3.0</t>
        </is>
      </c>
      <c r="B75" t="n">
        <v>6.8</v>
      </c>
      <c r="C75" t="inlineStr">
        <is>
          <t>1.75万</t>
        </is>
      </c>
      <c r="D75" t="n">
        <v>0</v>
      </c>
      <c r="E75" t="n">
        <v>0</v>
      </c>
      <c r="F75" t="n">
        <v>0</v>
      </c>
    </row>
    <row r="76">
      <c r="A76" t="inlineStr">
        <is>
          <t>θ=3.0</t>
        </is>
      </c>
      <c r="B76" t="n">
        <v>6.8</v>
      </c>
      <c r="C76" t="inlineStr">
        <is>
          <t>2.5万</t>
        </is>
      </c>
      <c r="D76" t="n">
        <v>24</v>
      </c>
      <c r="E76" t="n">
        <v>7</v>
      </c>
      <c r="F76" t="n">
        <v>22</v>
      </c>
    </row>
    <row r="78">
      <c r="A78" s="5" t="inlineStr">
        <is>
          <t>容量市場価格の K 依存 P_cap(K)</t>
        </is>
      </c>
    </row>
    <row r="79">
      <c r="A79" s="6" t="inlineStr">
        <is>
          <t>K(万kW)</t>
        </is>
      </c>
      <c r="B79" s="6" t="inlineStr">
        <is>
          <t>P_cap 北海道ブロック按分(円/kW)</t>
        </is>
      </c>
      <c r="C79" s="6" t="inlineStr">
        <is>
          <t>κP_cap 北海道ブロック按分(円/kW-年)</t>
        </is>
      </c>
      <c r="D79" s="6" t="inlineStr">
        <is>
          <t>P_cap 全国連系(円/kW)</t>
        </is>
      </c>
      <c r="E79" s="6" t="inlineStr">
        <is>
          <t>κP_cap 全国連系(円/kW-年)</t>
        </is>
      </c>
    </row>
    <row r="80">
      <c r="A80" t="n">
        <v>0</v>
      </c>
      <c r="B80" t="n">
        <v>14972</v>
      </c>
      <c r="C80" t="n">
        <v>12517</v>
      </c>
      <c r="D80" t="n">
        <v>14972</v>
      </c>
      <c r="E80" t="n">
        <v>12517</v>
      </c>
    </row>
    <row r="81">
      <c r="A81" t="n">
        <v>5</v>
      </c>
      <c r="B81" t="n">
        <v>9791</v>
      </c>
      <c r="C81" t="n">
        <v>8185</v>
      </c>
      <c r="D81" t="n">
        <v>14789</v>
      </c>
      <c r="E81" t="n">
        <v>12364</v>
      </c>
    </row>
    <row r="82">
      <c r="A82" t="n">
        <v>10</v>
      </c>
      <c r="B82" t="n">
        <v>7522</v>
      </c>
      <c r="C82" t="n">
        <v>6288</v>
      </c>
      <c r="D82" t="n">
        <v>14607</v>
      </c>
      <c r="E82" t="n">
        <v>12211</v>
      </c>
    </row>
    <row r="83">
      <c r="A83" t="n">
        <v>25</v>
      </c>
      <c r="B83" t="n">
        <v>714</v>
      </c>
      <c r="C83" t="n">
        <v>597</v>
      </c>
      <c r="D83" t="n">
        <v>14059</v>
      </c>
      <c r="E83" t="n">
        <v>11753</v>
      </c>
    </row>
    <row r="84">
      <c r="A84" t="n">
        <v>50</v>
      </c>
      <c r="B84" t="n">
        <v>0</v>
      </c>
      <c r="C84" t="n">
        <v>0</v>
      </c>
      <c r="D84" t="n">
        <v>13145</v>
      </c>
      <c r="E84" t="n">
        <v>10989</v>
      </c>
    </row>
    <row r="85">
      <c r="A85" t="n">
        <v>100</v>
      </c>
      <c r="B85" t="n">
        <v>0</v>
      </c>
      <c r="C85" t="n">
        <v>0</v>
      </c>
      <c r="D85" t="n">
        <v>11318</v>
      </c>
      <c r="E85" t="n">
        <v>9462</v>
      </c>
    </row>
    <row r="86">
      <c r="A86" t="n">
        <v>150</v>
      </c>
      <c r="B86" t="n">
        <v>0</v>
      </c>
      <c r="C86" t="n">
        <v>0</v>
      </c>
      <c r="D86" t="n">
        <v>9839</v>
      </c>
      <c r="E86" t="n">
        <v>8225</v>
      </c>
    </row>
    <row r="87">
      <c r="A87" t="n">
        <v>200</v>
      </c>
      <c r="B87" t="n">
        <v>0</v>
      </c>
      <c r="C87" t="n">
        <v>0</v>
      </c>
      <c r="D87" t="n">
        <v>9098</v>
      </c>
      <c r="E87" t="n">
        <v>7606</v>
      </c>
    </row>
    <row r="88">
      <c r="A88" t="n">
        <v>300</v>
      </c>
      <c r="B88" t="n">
        <v>0</v>
      </c>
      <c r="C88" t="n">
        <v>0</v>
      </c>
      <c r="D88" t="n">
        <v>7616</v>
      </c>
      <c r="E88" t="n">
        <v>6367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空間分散シミュレーション: 日内帯域の振幅倍率 λ と価格指標・風力→TB4h係数</t>
        </is>
      </c>
    </row>
    <row r="3">
      <c r="A3" s="6" t="inlineStr">
        <is>
          <t>λ</t>
        </is>
      </c>
      <c r="B3" s="6" t="inlineStr">
        <is>
          <t>日内シェア(&lt;24h,%)</t>
        </is>
      </c>
      <c r="C3" s="6" t="inlineStr">
        <is>
          <t>&lt;6h(%)</t>
        </is>
      </c>
      <c r="D3" s="6" t="inlineStr">
        <is>
          <t>6-24h(%)</t>
        </is>
      </c>
      <c r="E3" s="6" t="inlineStr">
        <is>
          <t>1-7d(%)</t>
        </is>
      </c>
      <c r="F3" s="6" t="inlineStr">
        <is>
          <t>&gt;7d(%)</t>
        </is>
      </c>
      <c r="G3" s="6" t="inlineStr">
        <is>
          <t>床時間(h/年)</t>
        </is>
      </c>
      <c r="H3" s="6" t="inlineStr">
        <is>
          <t>TB4h中央値</t>
        </is>
      </c>
      <c r="I3" s="6" t="inlineStr">
        <is>
          <t>p05</t>
        </is>
      </c>
      <c r="J3" s="6" t="inlineStr">
        <is>
          <t>p95</t>
        </is>
      </c>
      <c r="K3" s="6" t="inlineStr">
        <is>
          <t>PF価値(円/kW-年)</t>
        </is>
      </c>
      <c r="L3" s="6" t="inlineStr">
        <is>
          <t>日次エネルギー相関</t>
        </is>
      </c>
      <c r="M3" s="6" t="inlineStr">
        <is>
          <t>β_wind→TB4h 夏</t>
        </is>
      </c>
      <c r="N3" s="6" t="inlineStr">
        <is>
          <t>p 夏</t>
        </is>
      </c>
      <c r="O3" s="6" t="inlineStr">
        <is>
          <t>β_wind→TB4h 冬</t>
        </is>
      </c>
      <c r="P3" s="6" t="inlineStr">
        <is>
          <t>p 冬</t>
        </is>
      </c>
      <c r="Q3" s="6" t="inlineStr">
        <is>
          <t>β_wind→TB4h 春秋</t>
        </is>
      </c>
      <c r="R3" s="6" t="inlineStr">
        <is>
          <t>p 春秋</t>
        </is>
      </c>
    </row>
    <row r="4">
      <c r="A4" t="n">
        <v>1</v>
      </c>
      <c r="B4" t="n">
        <v>10.8</v>
      </c>
      <c r="C4" t="n">
        <v>1.9</v>
      </c>
      <c r="D4" t="n">
        <v>8.800000000000001</v>
      </c>
      <c r="E4" t="n">
        <v>40.1</v>
      </c>
      <c r="F4" t="n">
        <v>31.2</v>
      </c>
      <c r="G4" t="n">
        <v>115</v>
      </c>
      <c r="H4" t="n">
        <v>7.96</v>
      </c>
      <c r="I4" t="n">
        <v>5.57</v>
      </c>
      <c r="J4" t="n">
        <v>18.08</v>
      </c>
      <c r="K4" t="n">
        <v>8266</v>
      </c>
      <c r="L4" t="n">
        <v>1</v>
      </c>
      <c r="M4" t="n">
        <v>-0.08400000000000001</v>
      </c>
      <c r="N4" t="n">
        <v>0.003</v>
      </c>
      <c r="O4" t="n">
        <v>-0.02</v>
      </c>
      <c r="P4" t="n">
        <v>0.175</v>
      </c>
      <c r="Q4" t="n">
        <v>0.137</v>
      </c>
      <c r="R4" t="n">
        <v>0</v>
      </c>
    </row>
    <row r="5">
      <c r="A5" t="n">
        <v>1.5</v>
      </c>
      <c r="B5" t="n">
        <v>18.4</v>
      </c>
      <c r="C5" t="n">
        <v>3.6</v>
      </c>
      <c r="D5" t="n">
        <v>14.8</v>
      </c>
      <c r="E5" t="n">
        <v>36.2</v>
      </c>
      <c r="F5" t="n">
        <v>26.9</v>
      </c>
      <c r="G5" t="n">
        <v>116</v>
      </c>
      <c r="H5" t="n">
        <v>8.02</v>
      </c>
      <c r="I5" t="n">
        <v>5.57</v>
      </c>
      <c r="J5" t="n">
        <v>18.12</v>
      </c>
      <c r="K5" t="n">
        <v>8344</v>
      </c>
      <c r="L5" t="n">
        <v>1</v>
      </c>
      <c r="M5" t="n">
        <v>-0.08599999999999999</v>
      </c>
      <c r="N5" t="n">
        <v>0.005</v>
      </c>
      <c r="O5" t="n">
        <v>-0.018</v>
      </c>
      <c r="P5" t="n">
        <v>0.233</v>
      </c>
      <c r="Q5" t="n">
        <v>0.139</v>
      </c>
      <c r="R5" t="n">
        <v>0</v>
      </c>
    </row>
    <row r="6">
      <c r="A6" t="n">
        <v>2</v>
      </c>
      <c r="B6" t="n">
        <v>25.2</v>
      </c>
      <c r="C6" t="n">
        <v>5.4</v>
      </c>
      <c r="D6" t="n">
        <v>19.8</v>
      </c>
      <c r="E6" t="n">
        <v>32.6</v>
      </c>
      <c r="F6" t="n">
        <v>23.4</v>
      </c>
      <c r="G6" t="n">
        <v>117</v>
      </c>
      <c r="H6" t="n">
        <v>8.1</v>
      </c>
      <c r="I6" t="n">
        <v>5.55</v>
      </c>
      <c r="J6" t="n">
        <v>18.16</v>
      </c>
      <c r="K6" t="n">
        <v>8456</v>
      </c>
      <c r="L6" t="n">
        <v>1</v>
      </c>
      <c r="M6" t="n">
        <v>-0.08500000000000001</v>
      </c>
      <c r="N6" t="n">
        <v>0.007</v>
      </c>
      <c r="O6" t="n">
        <v>-0.018</v>
      </c>
      <c r="P6" t="n">
        <v>0.266</v>
      </c>
      <c r="Q6" t="n">
        <v>0.143</v>
      </c>
      <c r="R6" t="n">
        <v>0</v>
      </c>
    </row>
    <row r="7">
      <c r="A7" t="n">
        <v>3</v>
      </c>
      <c r="B7" t="n">
        <v>35.2</v>
      </c>
      <c r="C7" t="n">
        <v>8.4</v>
      </c>
      <c r="D7" t="n">
        <v>26.8</v>
      </c>
      <c r="E7" t="n">
        <v>27.4</v>
      </c>
      <c r="F7" t="n">
        <v>18.8</v>
      </c>
      <c r="G7" t="n">
        <v>126</v>
      </c>
      <c r="H7" t="n">
        <v>8.210000000000001</v>
      </c>
      <c r="I7" t="n">
        <v>5.46</v>
      </c>
      <c r="J7" t="n">
        <v>18.24</v>
      </c>
      <c r="K7" t="n">
        <v>8673</v>
      </c>
      <c r="L7" t="n">
        <v>0.9999</v>
      </c>
      <c r="M7" t="n">
        <v>-0.082</v>
      </c>
      <c r="N7" t="n">
        <v>0.013</v>
      </c>
      <c r="O7" t="n">
        <v>-0.007</v>
      </c>
      <c r="P7" t="n">
        <v>0.6909999999999999</v>
      </c>
      <c r="Q7" t="n">
        <v>0.149</v>
      </c>
      <c r="R7" t="n">
        <v>0</v>
      </c>
    </row>
    <row r="8">
      <c r="A8" t="n">
        <v>4</v>
      </c>
      <c r="B8" t="n">
        <v>41.4</v>
      </c>
      <c r="C8" t="n">
        <v>10.7</v>
      </c>
      <c r="D8" t="n">
        <v>30.7</v>
      </c>
      <c r="E8" t="n">
        <v>24.2</v>
      </c>
      <c r="F8" t="n">
        <v>16.1</v>
      </c>
      <c r="G8" t="n">
        <v>126</v>
      </c>
      <c r="H8" t="n">
        <v>8.31</v>
      </c>
      <c r="I8" t="n">
        <v>5.35</v>
      </c>
      <c r="J8" t="n">
        <v>18.31</v>
      </c>
      <c r="K8" t="n">
        <v>8846</v>
      </c>
      <c r="L8" t="n">
        <v>0.9998</v>
      </c>
      <c r="M8" t="n">
        <v>-0.07199999999999999</v>
      </c>
      <c r="N8" t="n">
        <v>0.037</v>
      </c>
      <c r="O8" t="n">
        <v>0.006</v>
      </c>
      <c r="P8" t="n">
        <v>0.753</v>
      </c>
      <c r="Q8" t="n">
        <v>0.158</v>
      </c>
      <c r="R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併設蓄電池の容量制約下での抑制回避可能率（北海道風力、2025/4〜2026/6）</t>
        </is>
      </c>
    </row>
    <row r="3">
      <c r="A3" s="6" t="inlineStr">
        <is>
          <t>併設仕様</t>
        </is>
      </c>
      <c r="B3" s="6" t="inlineStr">
        <is>
          <t>E(kWh/kW)</t>
        </is>
      </c>
      <c r="C3" s="6" t="inlineStr">
        <is>
          <t>P(kW/kW)</t>
        </is>
      </c>
      <c r="D3" s="6" t="inlineStr">
        <is>
          <t>回避可能率_一様(%)</t>
        </is>
      </c>
      <c r="E3" s="6" t="inlineStr">
        <is>
          <t>回避可能率_集中20%/77%(%)</t>
        </is>
      </c>
    </row>
    <row r="4">
      <c r="A4" t="inlineStr">
        <is>
          <t>0.64kWh/kW・4h</t>
        </is>
      </c>
      <c r="B4" t="n">
        <v>0.64</v>
      </c>
      <c r="C4" t="n">
        <v>0.16</v>
      </c>
      <c r="D4" t="n">
        <v>96.8</v>
      </c>
      <c r="E4" t="n">
        <v>65.3</v>
      </c>
    </row>
    <row r="5">
      <c r="A5" t="inlineStr">
        <is>
          <t>0.64kWh/kW・2h</t>
        </is>
      </c>
      <c r="B5" t="n">
        <v>0.64</v>
      </c>
      <c r="C5" t="n">
        <v>0.32</v>
      </c>
      <c r="D5" t="n">
        <v>99.2</v>
      </c>
      <c r="E5" t="n">
        <v>67.3</v>
      </c>
    </row>
    <row r="6">
      <c r="A6" t="inlineStr">
        <is>
          <t>1.28kWh/kW・4h</t>
        </is>
      </c>
      <c r="B6" t="n">
        <v>1.28</v>
      </c>
      <c r="C6" t="n">
        <v>0.32</v>
      </c>
      <c r="D6" t="n">
        <v>100</v>
      </c>
      <c r="E6" t="n">
        <v>84.3</v>
      </c>
    </row>
    <row r="7">
      <c r="A7" t="inlineStr">
        <is>
          <t>2.0kWh/kW・4h</t>
        </is>
      </c>
      <c r="B7" t="n">
        <v>2</v>
      </c>
      <c r="C7" t="n">
        <v>0.5</v>
      </c>
      <c r="D7" t="n">
        <v>100</v>
      </c>
      <c r="E7" t="n">
        <v>93.8</v>
      </c>
    </row>
    <row r="10">
      <c r="A10" s="3" t="inlineStr">
        <is>
          <t>注: 集中=容量シェア20%のサイトに抑制の77%（Maji et al. 2025 の ERCOT 分布を援用）。フリート集約 SoC シミュレーション（analysis/30）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日次回帰: 主分析（FY2016-25）と燃料危機期（FY2021-22）除外の係数比較</t>
        </is>
      </c>
    </row>
    <row r="3">
      <c r="A3" s="6" t="inlineStr">
        <is>
          <t>エリア</t>
        </is>
      </c>
      <c r="B3" s="6" t="inlineStr">
        <is>
          <t>被説明変数</t>
        </is>
      </c>
      <c r="C3" s="6" t="inlineStr">
        <is>
          <t>係数</t>
        </is>
      </c>
      <c r="D3" s="6" t="inlineStr">
        <is>
          <t>推定値_主分析</t>
        </is>
      </c>
      <c r="E3" s="6" t="inlineStr">
        <is>
          <t>p値_主分析</t>
        </is>
      </c>
      <c r="F3" s="6" t="inlineStr">
        <is>
          <t>推定値_除外</t>
        </is>
      </c>
      <c r="G3" s="6" t="inlineStr">
        <is>
          <t>p値_除外</t>
        </is>
      </c>
    </row>
    <row r="4">
      <c r="A4" t="inlineStr">
        <is>
          <t>hokkaido</t>
        </is>
      </c>
      <c r="B4" t="inlineStr">
        <is>
          <t>水準: 日平均価格</t>
        </is>
      </c>
      <c r="C4" t="inlineStr">
        <is>
          <t>solar_夏</t>
        </is>
      </c>
      <c r="D4" t="n">
        <v>-0.4598</v>
      </c>
      <c r="E4" t="n">
        <v>0</v>
      </c>
      <c r="F4" t="n">
        <v>-0.3188</v>
      </c>
      <c r="G4" t="n">
        <v>0</v>
      </c>
    </row>
    <row r="5">
      <c r="A5" t="inlineStr">
        <is>
          <t>hokkaido</t>
        </is>
      </c>
      <c r="B5" t="inlineStr">
        <is>
          <t>水準: 日平均価格</t>
        </is>
      </c>
      <c r="C5" t="inlineStr">
        <is>
          <t>wind_夏</t>
        </is>
      </c>
      <c r="D5" t="n">
        <v>-0.2819</v>
      </c>
      <c r="E5" t="n">
        <v>0</v>
      </c>
      <c r="F5" t="n">
        <v>-0.2193</v>
      </c>
      <c r="G5" t="n">
        <v>0</v>
      </c>
    </row>
    <row r="6">
      <c r="A6" t="inlineStr">
        <is>
          <t>hokkaido</t>
        </is>
      </c>
      <c r="B6" t="inlineStr">
        <is>
          <t>水準: 日平均価格</t>
        </is>
      </c>
      <c r="C6" t="inlineStr">
        <is>
          <t>solar_冬</t>
        </is>
      </c>
      <c r="D6" t="n">
        <v>-0.7557</v>
      </c>
      <c r="E6" t="n">
        <v>0</v>
      </c>
      <c r="F6" t="n">
        <v>-0.6403</v>
      </c>
      <c r="G6" t="n">
        <v>0.0024</v>
      </c>
    </row>
    <row r="7">
      <c r="A7" t="inlineStr">
        <is>
          <t>hokkaido</t>
        </is>
      </c>
      <c r="B7" t="inlineStr">
        <is>
          <t>水準: 日平均価格</t>
        </is>
      </c>
      <c r="C7" t="inlineStr">
        <is>
          <t>wind_冬</t>
        </is>
      </c>
      <c r="D7" t="n">
        <v>-0.3538</v>
      </c>
      <c r="E7" t="n">
        <v>0</v>
      </c>
      <c r="F7" t="n">
        <v>-0.3024</v>
      </c>
      <c r="G7" t="n">
        <v>0</v>
      </c>
    </row>
    <row r="8">
      <c r="A8" t="inlineStr">
        <is>
          <t>hokkaido</t>
        </is>
      </c>
      <c r="B8" t="inlineStr">
        <is>
          <t>水準: 日平均価格</t>
        </is>
      </c>
      <c r="C8" t="inlineStr">
        <is>
          <t>solar_春秋</t>
        </is>
      </c>
      <c r="D8" t="n">
        <v>-0.347</v>
      </c>
      <c r="E8" t="n">
        <v>0</v>
      </c>
      <c r="F8" t="n">
        <v>-0.1929</v>
      </c>
      <c r="G8" t="n">
        <v>0</v>
      </c>
    </row>
    <row r="9">
      <c r="A9" t="inlineStr">
        <is>
          <t>hokkaido</t>
        </is>
      </c>
      <c r="B9" t="inlineStr">
        <is>
          <t>水準: 日平均価格</t>
        </is>
      </c>
      <c r="C9" t="inlineStr">
        <is>
          <t>wind_春秋</t>
        </is>
      </c>
      <c r="D9" t="n">
        <v>-0.3578</v>
      </c>
      <c r="E9" t="n">
        <v>0</v>
      </c>
      <c r="F9" t="n">
        <v>-0.2954</v>
      </c>
      <c r="G9" t="n">
        <v>0</v>
      </c>
    </row>
    <row r="10">
      <c r="A10" t="inlineStr">
        <is>
          <t>hokkaido</t>
        </is>
      </c>
      <c r="B10" t="inlineStr">
        <is>
          <t>変動性: 日内SD</t>
        </is>
      </c>
      <c r="C10" t="inlineStr">
        <is>
          <t>solar_夏</t>
        </is>
      </c>
      <c r="D10" t="n">
        <v>-0.0453</v>
      </c>
      <c r="E10" t="n">
        <v>0.3188</v>
      </c>
      <c r="F10" t="n">
        <v>-0.0034</v>
      </c>
      <c r="G10" t="n">
        <v>0.9361</v>
      </c>
    </row>
    <row r="11">
      <c r="A11" t="inlineStr">
        <is>
          <t>hokkaido</t>
        </is>
      </c>
      <c r="B11" t="inlineStr">
        <is>
          <t>変動性: 日内SD</t>
        </is>
      </c>
      <c r="C11" t="inlineStr">
        <is>
          <t>wind_夏</t>
        </is>
      </c>
      <c r="D11" t="n">
        <v>-0.1285</v>
      </c>
      <c r="E11" t="n">
        <v>0.0018</v>
      </c>
      <c r="F11" t="n">
        <v>-0.0779</v>
      </c>
      <c r="G11" t="n">
        <v>0.0444</v>
      </c>
    </row>
    <row r="12">
      <c r="A12" t="inlineStr">
        <is>
          <t>hokkaido</t>
        </is>
      </c>
      <c r="B12" t="inlineStr">
        <is>
          <t>変動性: 日内SD</t>
        </is>
      </c>
      <c r="C12" t="inlineStr">
        <is>
          <t>solar_冬</t>
        </is>
      </c>
      <c r="D12" t="n">
        <v>-0.3071</v>
      </c>
      <c r="E12" t="n">
        <v>0.0039</v>
      </c>
      <c r="F12" t="n">
        <v>-0.225</v>
      </c>
      <c r="G12" t="n">
        <v>0.06279999999999999</v>
      </c>
    </row>
    <row r="13">
      <c r="A13" t="inlineStr">
        <is>
          <t>hokkaido</t>
        </is>
      </c>
      <c r="B13" t="inlineStr">
        <is>
          <t>変動性: 日内SD</t>
        </is>
      </c>
      <c r="C13" t="inlineStr">
        <is>
          <t>wind_冬</t>
        </is>
      </c>
      <c r="D13" t="n">
        <v>-0.1308</v>
      </c>
      <c r="E13" t="n">
        <v>0.0002</v>
      </c>
      <c r="F13" t="n">
        <v>-0.1402</v>
      </c>
      <c r="G13" t="n">
        <v>0.0002</v>
      </c>
    </row>
    <row r="14">
      <c r="A14" t="inlineStr">
        <is>
          <t>hokkaido</t>
        </is>
      </c>
      <c r="B14" t="inlineStr">
        <is>
          <t>変動性: 日内SD</t>
        </is>
      </c>
      <c r="C14" t="inlineStr">
        <is>
          <t>solar_春秋</t>
        </is>
      </c>
      <c r="D14" t="n">
        <v>0.0935</v>
      </c>
      <c r="E14" t="n">
        <v>0.0001</v>
      </c>
      <c r="F14" t="n">
        <v>0.1179</v>
      </c>
      <c r="G14" t="n">
        <v>0</v>
      </c>
    </row>
    <row r="15">
      <c r="A15" t="inlineStr">
        <is>
          <t>hokkaido</t>
        </is>
      </c>
      <c r="B15" t="inlineStr">
        <is>
          <t>変動性: 日内SD</t>
        </is>
      </c>
      <c r="C15" t="inlineStr">
        <is>
          <t>wind_春秋</t>
        </is>
      </c>
      <c r="D15" t="n">
        <v>-0.0276</v>
      </c>
      <c r="E15" t="n">
        <v>0.203</v>
      </c>
      <c r="F15" t="n">
        <v>-0.0086</v>
      </c>
      <c r="G15" t="n">
        <v>0.6712</v>
      </c>
    </row>
    <row r="16">
      <c r="A16" t="inlineStr">
        <is>
          <t>hokkaido</t>
        </is>
      </c>
      <c r="B16" t="inlineStr">
        <is>
          <t>変動性: TB4hスプレッド</t>
        </is>
      </c>
      <c r="C16" t="inlineStr">
        <is>
          <t>solar_夏</t>
        </is>
      </c>
      <c r="D16" t="n">
        <v>-0.0961</v>
      </c>
      <c r="E16" t="n">
        <v>0.4354</v>
      </c>
      <c r="F16" t="n">
        <v>0.0065</v>
      </c>
      <c r="G16" t="n">
        <v>0.9542</v>
      </c>
    </row>
    <row r="17">
      <c r="A17" t="inlineStr">
        <is>
          <t>hokkaido</t>
        </is>
      </c>
      <c r="B17" t="inlineStr">
        <is>
          <t>変動性: TB4hスプレッド</t>
        </is>
      </c>
      <c r="C17" t="inlineStr">
        <is>
          <t>wind_夏</t>
        </is>
      </c>
      <c r="D17" t="n">
        <v>-0.3485</v>
      </c>
      <c r="E17" t="n">
        <v>0.0025</v>
      </c>
      <c r="F17" t="n">
        <v>-0.1852</v>
      </c>
      <c r="G17" t="n">
        <v>0.0868</v>
      </c>
    </row>
    <row r="18">
      <c r="A18" t="inlineStr">
        <is>
          <t>hokkaido</t>
        </is>
      </c>
      <c r="B18" t="inlineStr">
        <is>
          <t>変動性: TB4hスプレッド</t>
        </is>
      </c>
      <c r="C18" t="inlineStr">
        <is>
          <t>solar_冬</t>
        </is>
      </c>
      <c r="D18" t="n">
        <v>-0.8034</v>
      </c>
      <c r="E18" t="n">
        <v>0.0056</v>
      </c>
      <c r="F18" t="n">
        <v>-0.5616</v>
      </c>
      <c r="G18" t="n">
        <v>0.089</v>
      </c>
    </row>
    <row r="19">
      <c r="A19" t="inlineStr">
        <is>
          <t>hokkaido</t>
        </is>
      </c>
      <c r="B19" t="inlineStr">
        <is>
          <t>変動性: TB4hスプレッド</t>
        </is>
      </c>
      <c r="C19" t="inlineStr">
        <is>
          <t>wind_冬</t>
        </is>
      </c>
      <c r="D19" t="n">
        <v>-0.3639</v>
      </c>
      <c r="E19" t="n">
        <v>0.0002</v>
      </c>
      <c r="F19" t="n">
        <v>-0.3887</v>
      </c>
      <c r="G19" t="n">
        <v>0.0002</v>
      </c>
    </row>
    <row r="20">
      <c r="A20" t="inlineStr">
        <is>
          <t>hokkaido</t>
        </is>
      </c>
      <c r="B20" t="inlineStr">
        <is>
          <t>変動性: TB4hスプレッド</t>
        </is>
      </c>
      <c r="C20" t="inlineStr">
        <is>
          <t>solar_春秋</t>
        </is>
      </c>
      <c r="D20" t="n">
        <v>0.2352</v>
      </c>
      <c r="E20" t="n">
        <v>0.0002</v>
      </c>
      <c r="F20" t="n">
        <v>0.3168</v>
      </c>
      <c r="G20" t="n">
        <v>0</v>
      </c>
    </row>
    <row r="21">
      <c r="A21" t="inlineStr">
        <is>
          <t>hokkaido</t>
        </is>
      </c>
      <c r="B21" t="inlineStr">
        <is>
          <t>変動性: TB4hスプレッド</t>
        </is>
      </c>
      <c r="C21" t="inlineStr">
        <is>
          <t>wind_春秋</t>
        </is>
      </c>
      <c r="D21" t="n">
        <v>-0.06900000000000001</v>
      </c>
      <c r="E21" t="n">
        <v>0.2281</v>
      </c>
      <c r="F21" t="n">
        <v>-0.0176</v>
      </c>
      <c r="G21" t="n">
        <v>0.7418</v>
      </c>
    </row>
    <row r="22">
      <c r="A22" t="inlineStr">
        <is>
          <t>kyushu</t>
        </is>
      </c>
      <c r="B22" t="inlineStr">
        <is>
          <t>水準: 日平均価格</t>
        </is>
      </c>
      <c r="C22" t="inlineStr">
        <is>
          <t>solar_夏</t>
        </is>
      </c>
      <c r="D22" t="n">
        <v>-0.0639</v>
      </c>
      <c r="E22" t="n">
        <v>0</v>
      </c>
      <c r="F22" t="n">
        <v>-0.0383</v>
      </c>
      <c r="G22" t="n">
        <v>0.0008</v>
      </c>
    </row>
    <row r="23">
      <c r="A23" t="inlineStr">
        <is>
          <t>kyushu</t>
        </is>
      </c>
      <c r="B23" t="inlineStr">
        <is>
          <t>水準: 日平均価格</t>
        </is>
      </c>
      <c r="C23" t="inlineStr">
        <is>
          <t>wind_夏</t>
        </is>
      </c>
      <c r="D23" t="n">
        <v>-0.0408</v>
      </c>
      <c r="E23" t="n">
        <v>0.6875</v>
      </c>
      <c r="F23" t="n">
        <v>0.1477</v>
      </c>
      <c r="G23" t="n">
        <v>0.1917</v>
      </c>
    </row>
    <row r="24">
      <c r="A24" t="inlineStr">
        <is>
          <t>kyushu</t>
        </is>
      </c>
      <c r="B24" t="inlineStr">
        <is>
          <t>水準: 日平均価格</t>
        </is>
      </c>
      <c r="C24" t="inlineStr">
        <is>
          <t>solar_冬</t>
        </is>
      </c>
      <c r="D24" t="n">
        <v>-0.0614</v>
      </c>
      <c r="E24" t="n">
        <v>0.0025</v>
      </c>
      <c r="F24" t="n">
        <v>-0.0555</v>
      </c>
      <c r="G24" t="n">
        <v>0.0267</v>
      </c>
    </row>
    <row r="25">
      <c r="A25" t="inlineStr">
        <is>
          <t>kyushu</t>
        </is>
      </c>
      <c r="B25" t="inlineStr">
        <is>
          <t>水準: 日平均価格</t>
        </is>
      </c>
      <c r="C25" t="inlineStr">
        <is>
          <t>wind_冬</t>
        </is>
      </c>
      <c r="D25" t="n">
        <v>-0.2726</v>
      </c>
      <c r="E25" t="n">
        <v>0.1703</v>
      </c>
      <c r="F25" t="n">
        <v>-0.3245</v>
      </c>
      <c r="G25" t="n">
        <v>0.1879</v>
      </c>
    </row>
    <row r="26">
      <c r="A26" t="inlineStr">
        <is>
          <t>kyushu</t>
        </is>
      </c>
      <c r="B26" t="inlineStr">
        <is>
          <t>水準: 日平均価格</t>
        </is>
      </c>
      <c r="C26" t="inlineStr">
        <is>
          <t>solar_春秋</t>
        </is>
      </c>
      <c r="D26" t="n">
        <v>-0.0549</v>
      </c>
      <c r="E26" t="n">
        <v>0</v>
      </c>
      <c r="F26" t="n">
        <v>-0.0467</v>
      </c>
      <c r="G26" t="n">
        <v>0</v>
      </c>
    </row>
    <row r="27">
      <c r="A27" t="inlineStr">
        <is>
          <t>kyushu</t>
        </is>
      </c>
      <c r="B27" t="inlineStr">
        <is>
          <t>水準: 日平均価格</t>
        </is>
      </c>
      <c r="C27" t="inlineStr">
        <is>
          <t>wind_春秋</t>
        </is>
      </c>
      <c r="D27" t="n">
        <v>0.06909999999999999</v>
      </c>
      <c r="E27" t="n">
        <v>0.3016</v>
      </c>
      <c r="F27" t="n">
        <v>0.0112</v>
      </c>
      <c r="G27" t="n">
        <v>0.8516</v>
      </c>
    </row>
    <row r="28">
      <c r="A28" t="inlineStr">
        <is>
          <t>kyushu</t>
        </is>
      </c>
      <c r="B28" t="inlineStr">
        <is>
          <t>変動性: 日内SD</t>
        </is>
      </c>
      <c r="C28" t="inlineStr">
        <is>
          <t>solar_夏</t>
        </is>
      </c>
      <c r="D28" t="n">
        <v>0.0059</v>
      </c>
      <c r="E28" t="n">
        <v>0.3851</v>
      </c>
      <c r="F28" t="n">
        <v>-0.0017</v>
      </c>
      <c r="G28" t="n">
        <v>0.7924</v>
      </c>
    </row>
    <row r="29">
      <c r="A29" t="inlineStr">
        <is>
          <t>kyushu</t>
        </is>
      </c>
      <c r="B29" t="inlineStr">
        <is>
          <t>変動性: 日内SD</t>
        </is>
      </c>
      <c r="C29" t="inlineStr">
        <is>
          <t>wind_夏</t>
        </is>
      </c>
      <c r="D29" t="n">
        <v>-0.09950000000000001</v>
      </c>
      <c r="E29" t="n">
        <v>0.229</v>
      </c>
      <c r="F29" t="n">
        <v>-0.1022</v>
      </c>
      <c r="G29" t="n">
        <v>0.2585</v>
      </c>
    </row>
    <row r="30">
      <c r="A30" t="inlineStr">
        <is>
          <t>kyushu</t>
        </is>
      </c>
      <c r="B30" t="inlineStr">
        <is>
          <t>変動性: 日内SD</t>
        </is>
      </c>
      <c r="C30" t="inlineStr">
        <is>
          <t>solar_冬</t>
        </is>
      </c>
      <c r="D30" t="n">
        <v>0.0439</v>
      </c>
      <c r="E30" t="n">
        <v>0.0002</v>
      </c>
      <c r="F30" t="n">
        <v>0.0308</v>
      </c>
      <c r="G30" t="n">
        <v>0.032</v>
      </c>
    </row>
    <row r="31">
      <c r="A31" t="inlineStr">
        <is>
          <t>kyushu</t>
        </is>
      </c>
      <c r="B31" t="inlineStr">
        <is>
          <t>変動性: 日内SD</t>
        </is>
      </c>
      <c r="C31" t="inlineStr">
        <is>
          <t>wind_冬</t>
        </is>
      </c>
      <c r="D31" t="n">
        <v>-0.1357</v>
      </c>
      <c r="E31" t="n">
        <v>0.2022</v>
      </c>
      <c r="F31" t="n">
        <v>-0.2345</v>
      </c>
      <c r="G31" t="n">
        <v>0.06809999999999999</v>
      </c>
    </row>
    <row r="32">
      <c r="A32" t="inlineStr">
        <is>
          <t>kyushu</t>
        </is>
      </c>
      <c r="B32" t="inlineStr">
        <is>
          <t>変動性: 日内SD</t>
        </is>
      </c>
      <c r="C32" t="inlineStr">
        <is>
          <t>solar_春秋</t>
        </is>
      </c>
      <c r="D32" t="n">
        <v>0.0437</v>
      </c>
      <c r="E32" t="n">
        <v>0</v>
      </c>
      <c r="F32" t="n">
        <v>0.0363</v>
      </c>
      <c r="G32" t="n">
        <v>0</v>
      </c>
    </row>
    <row r="33">
      <c r="A33" t="inlineStr">
        <is>
          <t>kyushu</t>
        </is>
      </c>
      <c r="B33" t="inlineStr">
        <is>
          <t>変動性: 日内SD</t>
        </is>
      </c>
      <c r="C33" t="inlineStr">
        <is>
          <t>wind_春秋</t>
        </is>
      </c>
      <c r="D33" t="n">
        <v>0.1148</v>
      </c>
      <c r="E33" t="n">
        <v>0.0064</v>
      </c>
      <c r="F33" t="n">
        <v>0.0789</v>
      </c>
      <c r="G33" t="n">
        <v>0.0243</v>
      </c>
    </row>
    <row r="34">
      <c r="A34" t="inlineStr">
        <is>
          <t>kyushu</t>
        </is>
      </c>
      <c r="B34" t="inlineStr">
        <is>
          <t>変動性: TB4hスプレッド</t>
        </is>
      </c>
      <c r="C34" t="inlineStr">
        <is>
          <t>solar_夏</t>
        </is>
      </c>
      <c r="D34" t="n">
        <v>0.0162</v>
      </c>
      <c r="E34" t="n">
        <v>0.3651</v>
      </c>
      <c r="F34" t="n">
        <v>-0.0012</v>
      </c>
      <c r="G34" t="n">
        <v>0.9449</v>
      </c>
    </row>
    <row r="35">
      <c r="A35" t="inlineStr">
        <is>
          <t>kyushu</t>
        </is>
      </c>
      <c r="B35" t="inlineStr">
        <is>
          <t>変動性: TB4hスプレッド</t>
        </is>
      </c>
      <c r="C35" t="inlineStr">
        <is>
          <t>wind_夏</t>
        </is>
      </c>
      <c r="D35" t="n">
        <v>-0.2479</v>
      </c>
      <c r="E35" t="n">
        <v>0.2632</v>
      </c>
      <c r="F35" t="n">
        <v>-0.2683</v>
      </c>
      <c r="G35" t="n">
        <v>0.2572</v>
      </c>
    </row>
    <row r="36">
      <c r="A36" t="inlineStr">
        <is>
          <t>kyushu</t>
        </is>
      </c>
      <c r="B36" t="inlineStr">
        <is>
          <t>変動性: TB4hスプレッド</t>
        </is>
      </c>
      <c r="C36" t="inlineStr">
        <is>
          <t>solar_冬</t>
        </is>
      </c>
      <c r="D36" t="n">
        <v>0.1229</v>
      </c>
      <c r="E36" t="n">
        <v>0.0001</v>
      </c>
      <c r="F36" t="n">
        <v>0.0878</v>
      </c>
      <c r="G36" t="n">
        <v>0.0205</v>
      </c>
    </row>
    <row r="37">
      <c r="A37" t="inlineStr">
        <is>
          <t>kyushu</t>
        </is>
      </c>
      <c r="B37" t="inlineStr">
        <is>
          <t>変動性: TB4hスプレッド</t>
        </is>
      </c>
      <c r="C37" t="inlineStr">
        <is>
          <t>wind_冬</t>
        </is>
      </c>
      <c r="D37" t="n">
        <v>-0.3509</v>
      </c>
      <c r="E37" t="n">
        <v>0.2067</v>
      </c>
      <c r="F37" t="n">
        <v>-0.6181</v>
      </c>
      <c r="G37" t="n">
        <v>0.0648</v>
      </c>
    </row>
    <row r="38">
      <c r="A38" t="inlineStr">
        <is>
          <t>kyushu</t>
        </is>
      </c>
      <c r="B38" t="inlineStr">
        <is>
          <t>変動性: TB4hスプレッド</t>
        </is>
      </c>
      <c r="C38" t="inlineStr">
        <is>
          <t>solar_春秋</t>
        </is>
      </c>
      <c r="D38" t="n">
        <v>0.1041</v>
      </c>
      <c r="E38" t="n">
        <v>0</v>
      </c>
      <c r="F38" t="n">
        <v>0.0862</v>
      </c>
      <c r="G38" t="n">
        <v>0</v>
      </c>
    </row>
    <row r="39">
      <c r="A39" t="inlineStr">
        <is>
          <t>kyushu</t>
        </is>
      </c>
      <c r="B39" t="inlineStr">
        <is>
          <t>変動性: TB4hスプレッド</t>
        </is>
      </c>
      <c r="C39" t="inlineStr">
        <is>
          <t>wind_春秋</t>
        </is>
      </c>
      <c r="D39" t="n">
        <v>0.2751</v>
      </c>
      <c r="E39" t="n">
        <v>0.0163</v>
      </c>
      <c r="F39" t="n">
        <v>0.1751</v>
      </c>
      <c r="G39" t="n">
        <v>0.0608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2026-08-17T03:15:40Z</dcterms:created>
  <dcterms:modified xsi:type="dcterms:W3CDTF">2026-09-29T10:41:15Z</dcterms:modified>
</cp:coreProperties>
</file>