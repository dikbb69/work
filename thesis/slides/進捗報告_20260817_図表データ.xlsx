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分断方向転換" sheetId="2" state="visible" r:id="rId2"/>
    <sheet name="capture率" sheetId="3" state="visible" r:id="rId3"/>
    <sheet name="帯域分解" sheetId="4" state="visible" r:id="rId4"/>
    <sheet name="泊DC_2x2" sheetId="5" state="visible" r:id="rId5"/>
    <sheet name="文献構成" sheetId="6" state="visible" r:id="rId6"/>
    <sheet name="風力スイープ" sheetId="7" state="visible" r:id="rId7"/>
    <sheet name="年間裁定粗利" sheetId="8" state="visible" r:id="rId8"/>
    <sheet name="帯域分解時系列" sheetId="9" state="visible" r:id="rId9"/>
    <sheet name="併設BTM検討" sheetId="10" state="visible" r:id="rId10"/>
    <sheet name="帯域分解比較" sheetId="11" state="visible" r:id="rId11"/>
    <sheet name="価格カーブ形状" sheetId="12" state="visible" r:id="rId12"/>
    <sheet name="風力価格カーブ" sheetId="13" state="visible" r:id="rId13"/>
    <sheet name="風力×裁定指標" sheetId="14" state="visible" r:id="rId14"/>
    <sheet name="duration曲線" sheetId="15" state="visible" r:id="rId15"/>
    <sheet name="量と価格の関係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6871"/>
      <sz val="14"/>
    </font>
    <font>
      <b val="1"/>
      <color rgb="00FFFFFF"/>
    </font>
    <font>
      <color rgb="00595959"/>
      <sz val="9"/>
    </font>
    <font>
      <b val="1"/>
      <color rgb="00176871"/>
      <sz val="13"/>
    </font>
    <font>
      <b val="1"/>
      <sz val="11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0079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市場分断の方向転換（コマ構成比%）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'分断方向転換'!B3</f>
            </strRef>
          </tx>
          <spPr>
            <a:ln>
              <a:prstDash val="solid"/>
            </a:ln>
          </spPr>
          <cat>
            <numRef>
              <f>'分断方向転換'!$A$4:$A$6</f>
            </numRef>
          </cat>
          <val>
            <numRef>
              <f>'分断方向転換'!$B$4:$B$6</f>
            </numRef>
          </val>
        </ser>
        <ser>
          <idx val="1"/>
          <order val="1"/>
          <tx>
            <strRef>
              <f>'分断方向転換'!C3</f>
            </strRef>
          </tx>
          <spPr>
            <a:ln>
              <a:prstDash val="solid"/>
            </a:ln>
          </spPr>
          <cat>
            <numRef>
              <f>'分断方向転換'!$A$4:$A$6</f>
            </numRef>
          </cat>
          <val>
            <numRef>
              <f>'分断方向転換'!$C$4:$C$6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capture率（完全予見PF=100%）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'capture率'!B3</f>
            </strRef>
          </tx>
          <spPr>
            <a:ln>
              <a:prstDash val="solid"/>
            </a:ln>
          </spPr>
          <cat>
            <numRef>
              <f>'capture率'!$A$4:$A$7</f>
            </numRef>
          </cat>
          <val>
            <numRef>
              <f>'capture率'!$B$4:$B$7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風力変動の帯域分解（分散シェア%）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'帯域分解'!B3</f>
            </strRef>
          </tx>
          <spPr>
            <a:ln>
              <a:prstDash val="solid"/>
            </a:ln>
          </spPr>
          <cat>
            <numRef>
              <f>'帯域分解'!$A$4:$A$6</f>
            </numRef>
          </cat>
          <val>
            <numRef>
              <f>'帯域分解'!$B$4:$B$6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PF価値の変化（ベース比、円/kW-年）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'泊DC_2x2'!D3</f>
            </strRef>
          </tx>
          <spPr>
            <a:ln>
              <a:prstDash val="solid"/>
            </a:ln>
          </spPr>
          <cat>
            <numRef>
              <f>'泊DC_2x2'!$A$4:$A$7</f>
            </numRef>
          </cat>
          <val>
            <numRef>
              <f>'泊DC_2x2'!$D$4:$D$7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円/kW-年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コア文献のセット構成（本）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'文献構成'!B3</f>
            </strRef>
          </tx>
          <spPr>
            <a:ln>
              <a:prstDash val="solid"/>
            </a:ln>
          </spPr>
          <cat>
            <numRef>
              <f>'文献構成'!$A$4:$A$7</f>
            </numRef>
          </cat>
          <val>
            <numRef>
              <f>'文献構成'!$B$4:$B$7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本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PF価値（円/kW-年） vs K_wind（万kW）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0079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'風力スイープ'!$C$4:$C$12</f>
            </numRef>
          </cat>
          <val>
            <numRef>
              <f>'風力スイープ'!$F$4:$F$12</f>
            </numRef>
          </val>
          <smooth val="0"/>
        </ser>
        <ser>
          <idx val="1"/>
          <order val="1"/>
          <spPr>
            <a:ln w="22000">
              <a:solidFill>
                <a:srgbClr val="D95B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'風力スイープ'!$C$4:$C$12</f>
            </numRef>
          </cat>
          <val>
            <numRef>
              <f>'風力スイープ'!$F$13:$F$21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年間裁定粗利（円/kW-年）</a:t>
            </a:r>
          </a:p>
        </rich>
      </tx>
    </title>
    <plotArea>
      <lineChart>
        <grouping val="standard"/>
        <ser>
          <idx val="0"/>
          <order val="0"/>
          <tx>
            <strRef>
              <f>'年間裁定粗利'!B3</f>
            </strRef>
          </tx>
          <spPr>
            <a:ln w="22000">
              <a:solidFill>
                <a:srgbClr val="A6BE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'年間裁定粗利'!$A$4:$A$13</f>
            </numRef>
          </cat>
          <val>
            <numRef>
              <f>'年間裁定粗利'!$B$4:$B$13</f>
            </numRef>
          </val>
          <smooth val="0"/>
        </ser>
        <ser>
          <idx val="1"/>
          <order val="1"/>
          <tx>
            <strRef>
              <f>'年間裁定粗利'!C3</f>
            </strRef>
          </tx>
          <spPr>
            <a:ln w="22000">
              <a:solidFill>
                <a:srgbClr val="0079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'年間裁定粗利'!$A$4:$A$13</f>
            </numRef>
          </cat>
          <val>
            <numRef>
              <f>'年間裁定粗利'!$C$4:$C$13</f>
            </numRef>
          </val>
          <smooth val="0"/>
        </ser>
        <ser>
          <idx val="2"/>
          <order val="2"/>
          <tx>
            <strRef>
              <f>'年間裁定粗利'!D3</f>
            </strRef>
          </tx>
          <spPr>
            <a:ln w="22000">
              <a:solidFill>
                <a:srgbClr val="5DB6E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'年間裁定粗利'!$A$4:$A$13</f>
            </numRef>
          </cat>
          <val>
            <numRef>
              <f>'年間裁定粗利'!$D$4:$D$13</f>
            </numRef>
          </val>
          <smooth val="0"/>
        </ser>
        <ser>
          <idx val="3"/>
          <order val="3"/>
          <tx>
            <strRef>
              <f>'年間裁定粗利'!E3</f>
            </strRef>
          </tx>
          <spPr>
            <a:ln w="22000">
              <a:solidFill>
                <a:srgbClr val="D95B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'年間裁定粗利'!$A$4:$A$13</f>
            </numRef>
          </cat>
          <val>
            <numRef>
              <f>'年間裁定粗利'!$E$4:$E$13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帯域別の分散シェア（%）</a:t>
            </a:r>
          </a:p>
        </rich>
      </tx>
    </title>
    <plotArea>
      <lineChart>
        <grouping val="standard"/>
        <ser>
          <idx val="0"/>
          <order val="0"/>
          <tx>
            <strRef>
              <f>'帯域分解時系列'!B3</f>
            </strRef>
          </tx>
          <spPr>
            <a:ln w="22000">
              <a:solidFill>
                <a:srgbClr val="5DB6E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'帯域分解時系列'!$A$4:$A$13</f>
            </numRef>
          </cat>
          <val>
            <numRef>
              <f>'帯域分解時系列'!$B$4:$B$13</f>
            </numRef>
          </val>
          <smooth val="0"/>
        </ser>
        <ser>
          <idx val="1"/>
          <order val="1"/>
          <tx>
            <strRef>
              <f>'帯域分解時系列'!C3</f>
            </strRef>
          </tx>
          <spPr>
            <a:ln w="22000">
              <a:solidFill>
                <a:srgbClr val="0079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'帯域分解時系列'!$A$4:$A$13</f>
            </numRef>
          </cat>
          <val>
            <numRef>
              <f>'帯域分解時系列'!$C$4:$C$13</f>
            </numRef>
          </val>
          <smooth val="0"/>
        </ser>
        <ser>
          <idx val="2"/>
          <order val="2"/>
          <tx>
            <strRef>
              <f>'帯域分解時系列'!D3</f>
            </strRef>
          </tx>
          <spPr>
            <a:ln w="22000">
              <a:solidFill>
                <a:srgbClr val="17687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'帯域分解時系列'!$A$4:$A$13</f>
            </numRef>
          </cat>
          <val>
            <numRef>
              <f>'帯域分解時系列'!$D$4:$D$13</f>
            </numRef>
          </val>
          <smooth val="0"/>
        </ser>
        <ser>
          <idx val="3"/>
          <order val="3"/>
          <tx>
            <strRef>
              <f>'帯域分解時系列'!E3</f>
            </strRef>
          </tx>
          <spPr>
            <a:ln w="22000">
              <a:solidFill>
                <a:srgbClr val="D95B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'帯域分解時系列'!$A$4:$A$13</f>
            </numRef>
          </cat>
          <val>
            <numRef>
              <f>'帯域分解時系列'!$E$4:$E$13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回避価値上限（円/kW風力-年）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'併設BTM検討'!C18</f>
            </strRef>
          </tx>
          <spPr>
            <a:ln>
              <a:prstDash val="solid"/>
            </a:ln>
          </spPr>
          <cat>
            <numRef>
              <f>'併設BTM検討'!$A$19:$A$22</f>
            </numRef>
          </cat>
          <val>
            <numRef>
              <f>'併設BTM検討'!$C$19:$C$22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北海道風力 vs 九州太陽光（分散シェア%）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'帯域分解比較'!B4</f>
            </strRef>
          </tx>
          <spPr>
            <a:ln>
              <a:prstDash val="solid"/>
            </a:ln>
          </spPr>
          <cat>
            <numRef>
              <f>'帯域分解比較'!$A$5:$A$8</f>
            </numRef>
          </cat>
          <val>
            <numRef>
              <f>'帯域分解比較'!$B$5:$B$8</f>
            </numRef>
          </val>
        </ser>
        <ser>
          <idx val="1"/>
          <order val="1"/>
          <tx>
            <strRef>
              <f>'帯域分解比較'!C4</f>
            </strRef>
          </tx>
          <spPr>
            <a:ln>
              <a:prstDash val="solid"/>
            </a:ln>
          </spPr>
          <cat>
            <numRef>
              <f>'帯域分解比較'!$A$5:$A$8</f>
            </numRef>
          </cat>
          <val>
            <numRef>
              <f>'帯域分解比較'!$C$5:$C$8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北海道太陽光: 帯域別分散シェアの推移</a:t>
            </a:r>
          </a:p>
        </rich>
      </tx>
    </title>
    <plotArea>
      <lineChart>
        <grouping val="standard"/>
        <ser>
          <idx val="0"/>
          <order val="0"/>
          <tx>
            <strRef>
              <f>'帯域分解比較'!B26</f>
            </strRef>
          </tx>
          <spPr>
            <a:ln w="22000">
              <a:solidFill>
                <a:srgbClr val="5DB6E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'帯域分解比較'!$A$27:$A$36</f>
            </numRef>
          </cat>
          <val>
            <numRef>
              <f>'帯域分解比較'!$B$27:$B$36</f>
            </numRef>
          </val>
          <smooth val="0"/>
        </ser>
        <ser>
          <idx val="1"/>
          <order val="1"/>
          <tx>
            <strRef>
              <f>'帯域分解比較'!C26</f>
            </strRef>
          </tx>
          <spPr>
            <a:ln w="22000">
              <a:solidFill>
                <a:srgbClr val="0079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'帯域分解比較'!$A$27:$A$36</f>
            </numRef>
          </cat>
          <val>
            <numRef>
              <f>'帯域分解比較'!$C$27:$C$36</f>
            </numRef>
          </val>
          <smooth val="0"/>
        </ser>
        <ser>
          <idx val="2"/>
          <order val="2"/>
          <tx>
            <strRef>
              <f>'帯域分解比較'!D26</f>
            </strRef>
          </tx>
          <spPr>
            <a:ln w="22000">
              <a:solidFill>
                <a:srgbClr val="17687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'帯域分解比較'!$A$27:$A$36</f>
            </numRef>
          </cat>
          <val>
            <numRef>
              <f>'帯域分解比較'!$D$27:$D$36</f>
            </numRef>
          </val>
          <smooth val="0"/>
        </ser>
        <ser>
          <idx val="3"/>
          <order val="3"/>
          <tx>
            <strRef>
              <f>'帯域分解比較'!E26</f>
            </strRef>
          </tx>
          <spPr>
            <a:ln w="22000">
              <a:solidFill>
                <a:srgbClr val="D95B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'帯域分解比較'!$A$27:$A$36</f>
            </numRef>
          </cat>
          <val>
            <numRef>
              <f>'帯域分解比較'!$E$27:$E$36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九州太陽光: 帯域別分散シェアの推移</a:t>
            </a:r>
          </a:p>
        </rich>
      </tx>
    </title>
    <plotArea>
      <lineChart>
        <grouping val="standard"/>
        <ser>
          <idx val="0"/>
          <order val="0"/>
          <tx>
            <strRef>
              <f>'帯域分解比較'!B12</f>
            </strRef>
          </tx>
          <spPr>
            <a:ln w="22000">
              <a:solidFill>
                <a:srgbClr val="5DB6E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'帯域分解比較'!$A$13:$A$22</f>
            </numRef>
          </cat>
          <val>
            <numRef>
              <f>'帯域分解比較'!$B$13:$B$22</f>
            </numRef>
          </val>
          <smooth val="0"/>
        </ser>
        <ser>
          <idx val="1"/>
          <order val="1"/>
          <tx>
            <strRef>
              <f>'帯域分解比較'!C12</f>
            </strRef>
          </tx>
          <spPr>
            <a:ln w="22000">
              <a:solidFill>
                <a:srgbClr val="0079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'帯域分解比較'!$A$13:$A$22</f>
            </numRef>
          </cat>
          <val>
            <numRef>
              <f>'帯域分解比較'!$C$13:$C$22</f>
            </numRef>
          </val>
          <smooth val="0"/>
        </ser>
        <ser>
          <idx val="2"/>
          <order val="2"/>
          <tx>
            <strRef>
              <f>'帯域分解比較'!D12</f>
            </strRef>
          </tx>
          <spPr>
            <a:ln w="22000">
              <a:solidFill>
                <a:srgbClr val="17687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'帯域分解比較'!$A$13:$A$22</f>
            </numRef>
          </cat>
          <val>
            <numRef>
              <f>'帯域分解比較'!$D$13:$D$22</f>
            </numRef>
          </val>
          <smooth val="0"/>
        </ser>
        <ser>
          <idx val="3"/>
          <order val="3"/>
          <tx>
            <strRef>
              <f>'帯域分解比較'!E12</f>
            </strRef>
          </tx>
          <spPr>
            <a:ln w="22000">
              <a:solidFill>
                <a:srgbClr val="D95B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'帯域分解比較'!$A$13:$A$22</f>
            </numRef>
          </cat>
          <val>
            <numRef>
              <f>'帯域分解比較'!$E$13:$E$22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需要期・夏（7-8月）</a:t>
            </a:r>
          </a:p>
        </rich>
      </tx>
    </title>
    <plotArea>
      <lineChart>
        <grouping val="standard"/>
        <ser>
          <idx val="0"/>
          <order val="0"/>
          <tx>
            <strRef>
              <f>'価格カーブ形状'!B4</f>
            </strRef>
          </tx>
          <spPr>
            <a:ln w="22000">
              <a:solidFill>
                <a:srgbClr val="D95B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'価格カーブ形状'!$A$5:$A$28</f>
            </numRef>
          </cat>
          <val>
            <numRef>
              <f>'価格カーブ形状'!$B$5:$B$28</f>
            </numRef>
          </val>
          <smooth val="0"/>
        </ser>
        <ser>
          <idx val="1"/>
          <order val="1"/>
          <tx>
            <strRef>
              <f>'価格カーブ形状'!C4</f>
            </strRef>
          </tx>
          <spPr>
            <a:ln w="22000">
              <a:solidFill>
                <a:srgbClr val="0079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'価格カーブ形状'!$A$5:$A$28</f>
            </numRef>
          </cat>
          <val>
            <numRef>
              <f>'価格カーブ形状'!$C$5:$C$28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時刻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円/kWh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需要期・冬（12-2月）</a:t>
            </a:r>
          </a:p>
        </rich>
      </tx>
    </title>
    <plotArea>
      <lineChart>
        <grouping val="standard"/>
        <ser>
          <idx val="0"/>
          <order val="0"/>
          <tx>
            <strRef>
              <f>'価格カーブ形状'!E4</f>
            </strRef>
          </tx>
          <spPr>
            <a:ln w="22000">
              <a:solidFill>
                <a:srgbClr val="D95B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'価格カーブ形状'!$D$5:$D$28</f>
            </numRef>
          </cat>
          <val>
            <numRef>
              <f>'価格カーブ形状'!$E$5:$E$28</f>
            </numRef>
          </val>
          <smooth val="0"/>
        </ser>
        <ser>
          <idx val="1"/>
          <order val="1"/>
          <tx>
            <strRef>
              <f>'価格カーブ形状'!F4</f>
            </strRef>
          </tx>
          <spPr>
            <a:ln w="22000">
              <a:solidFill>
                <a:srgbClr val="0079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'価格カーブ形状'!$D$5:$D$28</f>
            </numRef>
          </cat>
          <val>
            <numRef>
              <f>'価格カーブ形状'!$F$5:$F$28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時刻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円/kWh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不需要期（3-6・10-11月）</a:t>
            </a:r>
          </a:p>
        </rich>
      </tx>
    </title>
    <plotArea>
      <lineChart>
        <grouping val="standard"/>
        <ser>
          <idx val="0"/>
          <order val="0"/>
          <tx>
            <strRef>
              <f>'価格カーブ形状'!H4</f>
            </strRef>
          </tx>
          <spPr>
            <a:ln w="22000">
              <a:solidFill>
                <a:srgbClr val="D95B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'価格カーブ形状'!$G$5:$G$28</f>
            </numRef>
          </cat>
          <val>
            <numRef>
              <f>'価格カーブ形状'!$H$5:$H$28</f>
            </numRef>
          </val>
          <smooth val="0"/>
        </ser>
        <ser>
          <idx val="1"/>
          <order val="1"/>
          <tx>
            <strRef>
              <f>'価格カーブ形状'!I4</f>
            </strRef>
          </tx>
          <spPr>
            <a:ln w="22000">
              <a:solidFill>
                <a:srgbClr val="0079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'価格カーブ形状'!$G$5:$G$28</f>
            </numRef>
          </cat>
          <val>
            <numRef>
              <f>'価格カーブ形状'!$I$5:$I$28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時刻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円/kWh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需要期・夏（7-8月）</a:t>
            </a:r>
          </a:p>
        </rich>
      </tx>
    </title>
    <plotArea>
      <lineChart>
        <grouping val="standard"/>
        <ser>
          <idx val="0"/>
          <order val="0"/>
          <tx>
            <strRef>
              <f>'風力価格カーブ'!B4</f>
            </strRef>
          </tx>
          <spPr>
            <a:ln w="22000">
              <a:solidFill>
                <a:srgbClr val="D95B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'風力価格カーブ'!$A$5:$A$28</f>
            </numRef>
          </cat>
          <val>
            <numRef>
              <f>'風力価格カーブ'!$B$5:$B$28</f>
            </numRef>
          </val>
        </ser>
        <ser>
          <idx val="1"/>
          <order val="1"/>
          <tx>
            <strRef>
              <f>'風力価格カーブ'!C4</f>
            </strRef>
          </tx>
          <spPr>
            <a:ln w="22000">
              <a:solidFill>
                <a:srgbClr val="0079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'風力価格カーブ'!$A$5:$A$28</f>
            </numRef>
          </cat>
          <val>
            <numRef>
              <f>'風力価格カーブ'!$C$5:$C$28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需要期・冬（12-2月）</a:t>
            </a:r>
          </a:p>
        </rich>
      </tx>
    </title>
    <plotArea>
      <lineChart>
        <grouping val="standard"/>
        <ser>
          <idx val="0"/>
          <order val="0"/>
          <tx>
            <strRef>
              <f>'風力価格カーブ'!E4</f>
            </strRef>
          </tx>
          <spPr>
            <a:ln w="22000">
              <a:solidFill>
                <a:srgbClr val="D95B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'風力価格カーブ'!$D$5:$D$28</f>
            </numRef>
          </cat>
          <val>
            <numRef>
              <f>'風力価格カーブ'!$E$5:$E$28</f>
            </numRef>
          </val>
        </ser>
        <ser>
          <idx val="1"/>
          <order val="1"/>
          <tx>
            <strRef>
              <f>'風力価格カーブ'!F4</f>
            </strRef>
          </tx>
          <spPr>
            <a:ln w="22000">
              <a:solidFill>
                <a:srgbClr val="0079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'風力価格カーブ'!$D$5:$D$28</f>
            </numRef>
          </cat>
          <val>
            <numRef>
              <f>'風力価格カーブ'!$F$5:$F$28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不需要期（3-6・10-11月）</a:t>
            </a:r>
          </a:p>
        </rich>
      </tx>
    </title>
    <plotArea>
      <lineChart>
        <grouping val="standard"/>
        <ser>
          <idx val="0"/>
          <order val="0"/>
          <tx>
            <strRef>
              <f>'風力価格カーブ'!H4</f>
            </strRef>
          </tx>
          <spPr>
            <a:ln w="22000">
              <a:solidFill>
                <a:srgbClr val="D95B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'風力価格カーブ'!$G$5:$G$28</f>
            </numRef>
          </cat>
          <val>
            <numRef>
              <f>'風力価格カーブ'!$H$5:$H$28</f>
            </numRef>
          </val>
        </ser>
        <ser>
          <idx val="1"/>
          <order val="1"/>
          <tx>
            <strRef>
              <f>'風力価格カーブ'!I4</f>
            </strRef>
          </tx>
          <spPr>
            <a:ln w="22000">
              <a:solidFill>
                <a:srgbClr val="0079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'風力価格カーブ'!$G$5:$G$28</f>
            </numRef>
          </cat>
          <val>
            <numRef>
              <f>'風力価格カーブ'!$I$5:$I$28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PF粗利（円/kW-日）: 風力三分位×季節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'風力×裁定指標'!I3</f>
            </strRef>
          </tx>
          <spPr>
            <a:ln>
              <a:prstDash val="solid"/>
            </a:ln>
          </spPr>
          <cat>
            <numRef>
              <f>'風力×裁定指標'!$H$4:$H$6</f>
            </numRef>
          </cat>
          <val>
            <numRef>
              <f>'風力×裁定指標'!$I$4:$I$6</f>
            </numRef>
          </val>
        </ser>
        <ser>
          <idx val="1"/>
          <order val="1"/>
          <tx>
            <strRef>
              <f>'風力×裁定指標'!J3</f>
            </strRef>
          </tx>
          <spPr>
            <a:ln>
              <a:prstDash val="solid"/>
            </a:ln>
          </spPr>
          <cat>
            <numRef>
              <f>'風力×裁定指標'!$H$4:$H$6</f>
            </numRef>
          </cat>
          <val>
            <numRef>
              <f>'風力×裁定指標'!$J$4:$J$6</f>
            </numRef>
          </val>
        </ser>
        <ser>
          <idx val="2"/>
          <order val="2"/>
          <tx>
            <strRef>
              <f>'風力×裁定指標'!K3</f>
            </strRef>
          </tx>
          <spPr>
            <a:ln>
              <a:prstDash val="solid"/>
            </a:ln>
          </spPr>
          <cat>
            <numRef>
              <f>'風力×裁定指標'!$H$4:$H$6</f>
            </numRef>
          </cat>
          <val>
            <numRef>
              <f>'風力×裁定指標'!$K$4:$K$6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スポットPF価値（円/kW-年）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'duration曲線'!B3</f>
            </strRef>
          </tx>
          <spPr>
            <a:ln>
              <a:prstDash val="solid"/>
            </a:ln>
          </spPr>
          <cat>
            <numRef>
              <f>'duration曲線'!$A$4:$A$7</f>
            </numRef>
          </cat>
          <val>
            <numRef>
              <f>'duration曲線'!$B$4:$B$7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風力: 日内TB4hスプレッド（円/kWh）× 発電量五分位</a:t>
            </a:r>
          </a:p>
        </rich>
      </tx>
    </title>
    <plotArea>
      <lineChart>
        <grouping val="standard"/>
        <ser>
          <idx val="0"/>
          <order val="0"/>
          <tx>
            <strRef>
              <f>'量と価格の関係'!D4</f>
            </strRef>
          </tx>
          <spPr>
            <a:ln w="22000">
              <a:solidFill>
                <a:srgbClr val="D95B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'量と価格の関係'!$A$5:$A$9</f>
            </numRef>
          </cat>
          <val>
            <numRef>
              <f>'量と価格の関係'!$D$5:$D$9</f>
            </numRef>
          </val>
          <smooth val="0"/>
        </ser>
        <ser>
          <idx val="1"/>
          <order val="1"/>
          <tx>
            <strRef>
              <f>'量と価格の関係'!H4</f>
            </strRef>
          </tx>
          <spPr>
            <a:ln w="22000">
              <a:solidFill>
                <a:srgbClr val="17687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'量と価格の関係'!$A$5:$A$9</f>
            </numRef>
          </cat>
          <val>
            <numRef>
              <f>'量と価格の関係'!$H$5:$H$9</f>
            </numRef>
          </val>
          <smooth val="0"/>
        </ser>
        <ser>
          <idx val="2"/>
          <order val="2"/>
          <tx>
            <strRef>
              <f>'量と価格の関係'!L4</f>
            </strRef>
          </tx>
          <spPr>
            <a:ln w="22000">
              <a:solidFill>
                <a:srgbClr val="0079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'量と価格の関係'!$A$5:$A$9</f>
            </numRef>
          </cat>
          <val>
            <numRef>
              <f>'量と価格の関係'!$L$5:$L$9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太陽光: 日内TB4hスプレッド（円/kWh）× 発電量五分位</a:t>
            </a:r>
          </a:p>
        </rich>
      </tx>
    </title>
    <plotArea>
      <lineChart>
        <grouping val="standard"/>
        <ser>
          <idx val="0"/>
          <order val="0"/>
          <tx>
            <strRef>
              <f>'量と価格の関係'!D12</f>
            </strRef>
          </tx>
          <spPr>
            <a:ln w="22000">
              <a:solidFill>
                <a:srgbClr val="D95B2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'量と価格の関係'!$A$13:$A$17</f>
            </numRef>
          </cat>
          <val>
            <numRef>
              <f>'量と価格の関係'!$D$13:$D$17</f>
            </numRef>
          </val>
          <smooth val="0"/>
        </ser>
        <ser>
          <idx val="1"/>
          <order val="1"/>
          <tx>
            <strRef>
              <f>'量と価格の関係'!H12</f>
            </strRef>
          </tx>
          <spPr>
            <a:ln w="22000">
              <a:solidFill>
                <a:srgbClr val="17687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'量と価格の関係'!$A$13:$A$17</f>
            </numRef>
          </cat>
          <val>
            <numRef>
              <f>'量と価格の関係'!$H$13:$H$17</f>
            </numRef>
          </val>
          <smooth val="0"/>
        </ser>
        <ser>
          <idx val="2"/>
          <order val="2"/>
          <tx>
            <strRef>
              <f>'量と価格の関係'!L12</f>
            </strRef>
          </tx>
          <spPr>
            <a:ln w="22000">
              <a:solidFill>
                <a:srgbClr val="0079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'量と価格の関係'!$A$13:$A$17</f>
            </numRef>
          </cat>
          <val>
            <numRef>
              <f>'量と価格の関係'!$L$13:$L$17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46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36</row>
      <rowOff>0</rowOff>
    </from>
    <ext cx="468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19</row>
      <rowOff>0</rowOff>
    </from>
    <ext cx="468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41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41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30</row>
      <rowOff>0</rowOff>
    </from>
    <ext cx="414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41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41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30</row>
      <rowOff>0</rowOff>
    </from>
    <ext cx="414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8</row>
      <rowOff>0</rowOff>
    </from>
    <ext cx="54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43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43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64" customWidth="1" min="2" max="2"/>
  </cols>
  <sheetData>
    <row r="1">
      <c r="A1" s="1" t="inlineStr">
        <is>
          <t>進捗報告（2026-08-17）図表データ</t>
        </is>
      </c>
    </row>
    <row r="2"/>
    <row r="3">
      <c r="A3" s="2" t="inlineStr">
        <is>
          <t>シート</t>
        </is>
      </c>
      <c r="B3" s="2" t="inlineStr">
        <is>
          <t>内容</t>
        </is>
      </c>
    </row>
    <row r="4">
      <c r="A4" t="inlineStr">
        <is>
          <t>分断方向転換</t>
        </is>
      </c>
      <c r="B4" t="inlineStr">
        <is>
          <t>スライド4: 市場分断の方向転換（コマ構成比）</t>
        </is>
      </c>
    </row>
    <row r="5">
      <c r="A5" t="inlineStr">
        <is>
          <t>capture率</t>
        </is>
      </c>
      <c r="B5" t="inlineStr">
        <is>
          <t>スライド5: 実行可能戦略のcapture率（完全予見比）</t>
        </is>
      </c>
    </row>
    <row r="6">
      <c r="A6" t="inlineStr">
        <is>
          <t>帯域分解</t>
        </is>
      </c>
      <c r="B6" t="inlineStr">
        <is>
          <t>スライド6: 風力変動の帯域分解（分散シェア）</t>
        </is>
      </c>
    </row>
    <row r="7">
      <c r="A7" t="inlineStr">
        <is>
          <t>泊DC_2x2</t>
        </is>
      </c>
      <c r="B7" t="inlineStr">
        <is>
          <t>スライド15: 泊3号×DC需要の2×2分解（価格過程v1）</t>
        </is>
      </c>
    </row>
    <row r="8">
      <c r="A8" t="inlineStr">
        <is>
          <t>文献構成</t>
        </is>
      </c>
      <c r="B8" t="inlineStr">
        <is>
          <t>スライド7: コア文献41本のセット構成</t>
        </is>
      </c>
    </row>
    <row r="9"/>
    <row r="10">
      <c r="A10" s="3" t="inlineStr">
        <is>
          <t>数値の出所: 北海道時間パネル（11_build_area_panels）・北海道簡易分析（10_hokkaido_quick_xlsx）・価格過程v1（13_price_process_v1）</t>
        </is>
      </c>
    </row>
    <row r="11">
      <c r="A11" t="inlineStr">
        <is>
          <t>価格カーブ形状</t>
        </is>
      </c>
      <c r="B11" t="inlineStr">
        <is>
          <t>追加: 3季節×太陽光大小の時間帯別価格カーブ（FY2023-25）</t>
        </is>
      </c>
    </row>
    <row r="12">
      <c r="A12" t="inlineStr">
        <is>
          <t>風力価格カーブ</t>
        </is>
      </c>
      <c r="B12" t="inlineStr">
        <is>
          <t>追加: 風力大小×3季節の価格カーブ</t>
        </is>
      </c>
    </row>
    <row r="13">
      <c r="A13" t="inlineStr">
        <is>
          <t>風力×裁定指標</t>
        </is>
      </c>
      <c r="B13" t="inlineStr">
        <is>
          <t>追加: 風力三分位×TB4h/PF/床/安値分断</t>
        </is>
      </c>
    </row>
    <row r="14">
      <c r="A14" t="inlineStr">
        <is>
          <t>duration曲線</t>
        </is>
      </c>
      <c r="B14" t="inlineStr">
        <is>
          <t>追加: PF価値のh依存＋κ(h)</t>
        </is>
      </c>
    </row>
    <row r="15">
      <c r="A15" t="inlineStr">
        <is>
          <t>風力スイープ</t>
        </is>
      </c>
      <c r="B15" t="inlineStr">
        <is>
          <t>追加: K_wind 0.5-3×の蓄電池価値カーブ（泊あり/なし）</t>
        </is>
      </c>
    </row>
    <row r="16">
      <c r="A16" t="inlineStr">
        <is>
          <t>年間裁定粗利</t>
        </is>
      </c>
      <c r="B16" t="inlineStr">
        <is>
          <t>追加: PF/a/b/cの年間裁定粗利 時系列（FY2016-25）</t>
        </is>
      </c>
    </row>
    <row r="17">
      <c r="A17" t="inlineStr">
        <is>
          <t>帯域分解時系列</t>
        </is>
      </c>
      <c r="B17" t="inlineStr">
        <is>
          <t>追加: 風力帯域分解の年度別推移</t>
        </is>
      </c>
    </row>
    <row r="18">
      <c r="A18" t="inlineStr">
        <is>
          <t>併設BTM検討</t>
        </is>
      </c>
      <c r="B18" t="inlineStr">
        <is>
          <t>追加: BTM対象化の根拠（抑制実績・価格内訳・回避価値試算）</t>
        </is>
      </c>
    </row>
    <row r="19">
      <c r="A19" t="inlineStr">
        <is>
          <t>帯域分解比較</t>
        </is>
      </c>
      <c r="B19" t="inlineStr">
        <is>
          <t>追加: 北海道風力 vs 九州太陽光の帯域分解（静的＋九州太陽光の時系列）</t>
        </is>
      </c>
    </row>
    <row r="20">
      <c r="A20" t="inlineStr">
        <is>
          <t>量と価格の関係</t>
        </is>
      </c>
      <c r="B20" t="inlineStr">
        <is>
          <t>追加: 発電量五分位×価格水準・TB4hスプレッド（風力vs太陽光・季節別）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4" t="inlineStr">
        <is>
          <t>市場分断の方向転換（北海道エリアプライス vs システムプライス、コマ構成比%）</t>
        </is>
      </c>
    </row>
    <row r="3">
      <c r="A3" s="2" t="inlineStr">
        <is>
          <t>区分</t>
        </is>
      </c>
      <c r="B3" s="2" t="inlineStr">
        <is>
          <t>FY2016-19</t>
        </is>
      </c>
      <c r="C3" s="2" t="inlineStr">
        <is>
          <t>FY2023-25</t>
        </is>
      </c>
    </row>
    <row r="4">
      <c r="A4" t="inlineStr">
        <is>
          <t>高値分断（道内＞本州）</t>
        </is>
      </c>
      <c r="B4" t="n">
        <v>89.5</v>
      </c>
      <c r="C4" t="n">
        <v>60</v>
      </c>
    </row>
    <row r="5">
      <c r="A5" t="inlineStr">
        <is>
          <t>連系（±0.01円以内）</t>
        </is>
      </c>
      <c r="B5" t="n">
        <v>7.5</v>
      </c>
      <c r="C5" t="n">
        <v>11</v>
      </c>
    </row>
    <row r="6">
      <c r="A6" t="inlineStr">
        <is>
          <t>安値分断（道内＜本州）</t>
        </is>
      </c>
      <c r="B6" t="n">
        <v>3</v>
      </c>
      <c r="C6" t="n">
        <v>29</v>
      </c>
    </row>
    <row r="8">
      <c r="A8" s="3" t="inlineStr">
        <is>
          <t>注: 高値87-92%等の年度レンジの代表値。判定はシステムプライス±0.01円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3" max="3"/>
  </cols>
  <sheetData>
    <row r="1">
      <c r="A1" s="4" t="inlineStr">
        <is>
          <t>実行可能戦略のcapture率（完全予見PF=100%、60分粒度）</t>
        </is>
      </c>
    </row>
    <row r="3">
      <c r="A3" s="2" t="inlineStr">
        <is>
          <t>戦略</t>
        </is>
      </c>
      <c r="B3" s="2" t="inlineStr">
        <is>
          <t>capture率(%)</t>
        </is>
      </c>
      <c r="C3" s="2" t="inlineStr">
        <is>
          <t>レンジ</t>
        </is>
      </c>
    </row>
    <row r="4">
      <c r="A4" t="inlineStr">
        <is>
          <t>完全予見PF</t>
        </is>
      </c>
      <c r="B4" t="n">
        <v>100</v>
      </c>
      <c r="C4" t="inlineStr">
        <is>
          <t>—</t>
        </is>
      </c>
    </row>
    <row r="5">
      <c r="A5" t="inlineStr">
        <is>
          <t>九州 戦略a（価格ランク）</t>
        </is>
      </c>
      <c r="B5" t="n">
        <v>78.5</v>
      </c>
      <c r="C5" t="inlineStr">
        <is>
          <t>77-80%</t>
        </is>
      </c>
    </row>
    <row r="6">
      <c r="A6" t="inlineStr">
        <is>
          <t>北海道 戦略a（価格ランク）</t>
        </is>
      </c>
      <c r="B6" t="n">
        <v>67.5</v>
      </c>
      <c r="C6" t="inlineStr">
        <is>
          <t>66-69%</t>
        </is>
      </c>
    </row>
    <row r="7">
      <c r="A7" t="inlineStr">
        <is>
          <t>北海道 戦略b（残余需要予測）</t>
        </is>
      </c>
      <c r="B7" t="n">
        <v>79</v>
      </c>
      <c r="C7" t="inlineStr">
        <is>
          <t>77-81%</t>
        </is>
      </c>
    </row>
    <row r="9">
      <c r="A9" s="3" t="inlineStr">
        <is>
          <t>注: 棒は各年度レンジの中央値。戦略b′（風力持続性の追加）は改善なし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4" t="inlineStr">
        <is>
          <t>風力変動の帯域分解（フリート集約・制御前出力の分散シェア%、FY2024-25）</t>
        </is>
      </c>
    </row>
    <row r="3">
      <c r="A3" s="2" t="inlineStr">
        <is>
          <t>帯域</t>
        </is>
      </c>
      <c r="B3" s="2" t="inlineStr">
        <is>
          <t>分散シェア(%)</t>
        </is>
      </c>
    </row>
    <row r="4">
      <c r="A4" t="inlineStr">
        <is>
          <t>日内（&lt;24h）</t>
        </is>
      </c>
      <c r="B4" t="n">
        <v>25.7</v>
      </c>
    </row>
    <row r="5">
      <c r="A5" t="inlineStr">
        <is>
          <t>1〜7日</t>
        </is>
      </c>
      <c r="B5" t="n">
        <v>35.7</v>
      </c>
    </row>
    <row r="6">
      <c r="A6" t="inlineStr">
        <is>
          <t>7日超</t>
        </is>
      </c>
      <c r="B6" t="n">
        <v>38.6</v>
      </c>
    </row>
    <row r="8">
      <c r="A8" s="3" t="inlineStr">
        <is>
          <t>注: バンドパス分散分解。太陽光は6-24h帯が中心（対照）。4h蓄電池が主に吸収できるのは日内帯のみ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泊3号×DC需要の2×2分解（価格過程v1・FY2023-25実パス・仕様B・共通乱数）</t>
        </is>
      </c>
    </row>
    <row r="3">
      <c r="A3" s="2" t="inlineStr">
        <is>
          <t>シナリオ</t>
        </is>
      </c>
      <c r="B3" s="2" t="inlineStr">
        <is>
          <t>床時間(h/年)</t>
        </is>
      </c>
      <c r="C3" s="2" t="inlineStr">
        <is>
          <t>PF価値(円/kW-年)</t>
        </is>
      </c>
      <c r="D3" s="2" t="inlineStr">
        <is>
          <t>ΔPF(円/kW-年)</t>
        </is>
      </c>
    </row>
    <row r="4">
      <c r="A4" t="inlineStr">
        <is>
          <t>ベース（泊なし・DCなし）</t>
        </is>
      </c>
      <c r="B4" t="n">
        <v>117</v>
      </c>
      <c r="C4" t="n">
        <v>8593</v>
      </c>
      <c r="D4" t="n">
        <v>0</v>
      </c>
    </row>
    <row r="5">
      <c r="A5" t="inlineStr">
        <is>
          <t>泊3号再稼働のみ（91.2万kW×90%）</t>
        </is>
      </c>
      <c r="B5" t="n">
        <v>704</v>
      </c>
      <c r="C5" t="n">
        <v>9777</v>
      </c>
      <c r="D5" t="n">
        <v>1184</v>
      </c>
    </row>
    <row r="6">
      <c r="A6" t="inlineStr">
        <is>
          <t>DC需要+80万kW（フラット）のみ</t>
        </is>
      </c>
      <c r="B6" t="n">
        <v>29</v>
      </c>
      <c r="C6" t="n">
        <v>7796</v>
      </c>
      <c r="D6" t="n">
        <v>-797</v>
      </c>
    </row>
    <row r="7">
      <c r="A7" t="inlineStr">
        <is>
          <t>泊＋DC（両方）</t>
        </is>
      </c>
      <c r="B7" t="n">
        <v>121</v>
      </c>
      <c r="C7" t="n">
        <v>8582</v>
      </c>
      <c r="D7" t="n">
        <v>-11</v>
      </c>
    </row>
    <row r="9">
      <c r="A9" s="3" t="inlineStr">
        <is>
          <t>注: 部分均衡（蓄電池フリート応答・p_system変化は未反映）。床時間は60分粒度のモデル値（実績の床コマ473/年とは定義が異なる）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3" max="3"/>
  </cols>
  <sheetData>
    <row r="1">
      <c r="A1" s="4" t="inlineStr">
        <is>
          <t>コア文献41本のセット構成（DOI検証・PDF収集・抽出表・数値チェック済み）</t>
        </is>
      </c>
    </row>
    <row r="3">
      <c r="A3" s="2" t="inlineStr">
        <is>
          <t>セット</t>
        </is>
      </c>
      <c r="B3" s="2" t="inlineStr">
        <is>
          <t>本数</t>
        </is>
      </c>
      <c r="C3" s="2" t="inlineStr">
        <is>
          <t>内容</t>
        </is>
      </c>
    </row>
    <row r="4">
      <c r="A4" t="inlineStr">
        <is>
          <t>A 再エネ→価格・ボラ実証</t>
        </is>
      </c>
      <c r="B4" t="n">
        <v>11</v>
      </c>
      <c r="C4" t="inlineStr">
        <is>
          <t>Woo 2011・Ketterer 2014・Wozabal 2016 ほか</t>
        </is>
      </c>
    </row>
    <row r="5">
      <c r="A5" t="inlineStr">
        <is>
          <t>B 蓄電池の経済学・均衡</t>
        </is>
      </c>
      <c r="B5" t="n">
        <v>13</v>
      </c>
      <c r="C5" t="inlineStr">
        <is>
          <t>Butters 2025・Karaduman・Schmalensee ほか</t>
        </is>
      </c>
    </row>
    <row r="6">
      <c r="A6" t="inlineStr">
        <is>
          <t>C 日本・JEPX</t>
        </is>
      </c>
      <c r="B6" t="n">
        <v>9</v>
      </c>
      <c r="C6" t="inlineStr">
        <is>
          <t>Fuke &amp; Ohashi 2025・Sakaguchi &amp; Fujii 2021 ほか</t>
        </is>
      </c>
    </row>
    <row r="7">
      <c r="A7" t="inlineStr">
        <is>
          <t>D 手法・投資評価</t>
        </is>
      </c>
      <c r="B7" t="n">
        <v>8</v>
      </c>
      <c r="C7" t="inlineStr">
        <is>
          <t>Corsi 2009・Fanone 2013・Leahy/Grenadier ほか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8" customWidth="1" min="5" max="5"/>
    <col width="18" customWidth="1" min="6" max="6"/>
  </cols>
  <sheetData>
    <row r="1">
      <c r="A1" s="4" t="inlineStr">
        <is>
          <t>K_windスイープ: 風力導入量×蓄電池スポット価値（価格過程v1、FY2023-25平均）</t>
        </is>
      </c>
    </row>
    <row r="3">
      <c r="A3" s="2" t="inlineStr">
        <is>
          <t>泊</t>
        </is>
      </c>
      <c r="B3" s="2" t="inlineStr">
        <is>
          <t>K_wind倍率</t>
        </is>
      </c>
      <c r="C3" s="2" t="inlineStr">
        <is>
          <t>K_wind(万kW)</t>
        </is>
      </c>
      <c r="D3" s="2" t="inlineStr">
        <is>
          <t>床時間(h/年)</t>
        </is>
      </c>
      <c r="E3" s="2" t="inlineStr">
        <is>
          <t>TB4h中央値(円/kWh)</t>
        </is>
      </c>
      <c r="F3" s="2" t="inlineStr">
        <is>
          <t>PF価値(円/kW-年)</t>
        </is>
      </c>
    </row>
    <row r="4">
      <c r="A4" t="inlineStr">
        <is>
          <t>なし</t>
        </is>
      </c>
      <c r="B4" t="n">
        <v>0.5</v>
      </c>
      <c r="C4" t="n">
        <v>61</v>
      </c>
      <c r="D4" t="n">
        <v>62</v>
      </c>
      <c r="E4" t="n">
        <v>8.23</v>
      </c>
      <c r="F4" t="n">
        <v>8528</v>
      </c>
    </row>
    <row r="5">
      <c r="A5" t="inlineStr">
        <is>
          <t>なし</t>
        </is>
      </c>
      <c r="B5" t="n">
        <v>0.75</v>
      </c>
      <c r="C5" t="n">
        <v>91</v>
      </c>
      <c r="D5" t="n">
        <v>90</v>
      </c>
      <c r="E5" t="n">
        <v>8.199999999999999</v>
      </c>
      <c r="F5" t="n">
        <v>8574</v>
      </c>
    </row>
    <row r="6">
      <c r="A6" t="inlineStr">
        <is>
          <t>なし</t>
        </is>
      </c>
      <c r="B6" t="n">
        <v>1</v>
      </c>
      <c r="C6" t="n">
        <v>121</v>
      </c>
      <c r="D6" t="n">
        <v>117</v>
      </c>
      <c r="E6" t="n">
        <v>8.17</v>
      </c>
      <c r="F6" t="n">
        <v>8593</v>
      </c>
    </row>
    <row r="7">
      <c r="A7" t="inlineStr">
        <is>
          <t>なし</t>
        </is>
      </c>
      <c r="B7" t="n">
        <v>1.25</v>
      </c>
      <c r="C7" t="n">
        <v>151</v>
      </c>
      <c r="D7" t="n">
        <v>152</v>
      </c>
      <c r="E7" t="n">
        <v>8.109999999999999</v>
      </c>
      <c r="F7" t="n">
        <v>8663</v>
      </c>
    </row>
    <row r="8">
      <c r="A8" t="inlineStr">
        <is>
          <t>なし</t>
        </is>
      </c>
      <c r="B8" t="n">
        <v>1.5</v>
      </c>
      <c r="C8" t="n">
        <v>182</v>
      </c>
      <c r="D8" t="n">
        <v>197</v>
      </c>
      <c r="E8" t="n">
        <v>8.050000000000001</v>
      </c>
      <c r="F8" t="n">
        <v>8792</v>
      </c>
    </row>
    <row r="9">
      <c r="A9" t="inlineStr">
        <is>
          <t>なし</t>
        </is>
      </c>
      <c r="B9" t="n">
        <v>1.75</v>
      </c>
      <c r="C9" t="n">
        <v>212</v>
      </c>
      <c r="D9" t="n">
        <v>253</v>
      </c>
      <c r="E9" t="n">
        <v>8.24</v>
      </c>
      <c r="F9" t="n">
        <v>9000</v>
      </c>
    </row>
    <row r="10">
      <c r="A10" t="inlineStr">
        <is>
          <t>なし</t>
        </is>
      </c>
      <c r="B10" t="n">
        <v>2</v>
      </c>
      <c r="C10" t="n">
        <v>242</v>
      </c>
      <c r="D10" t="n">
        <v>324</v>
      </c>
      <c r="E10" t="n">
        <v>8.220000000000001</v>
      </c>
      <c r="F10" t="n">
        <v>9198</v>
      </c>
    </row>
    <row r="11">
      <c r="A11" t="inlineStr">
        <is>
          <t>なし</t>
        </is>
      </c>
      <c r="B11" t="n">
        <v>2.5</v>
      </c>
      <c r="C11" t="n">
        <v>303</v>
      </c>
      <c r="D11" t="n">
        <v>515</v>
      </c>
      <c r="E11" t="n">
        <v>8.640000000000001</v>
      </c>
      <c r="F11" t="n">
        <v>9824</v>
      </c>
    </row>
    <row r="12">
      <c r="A12" t="inlineStr">
        <is>
          <t>なし</t>
        </is>
      </c>
      <c r="B12" t="n">
        <v>3</v>
      </c>
      <c r="C12" t="n">
        <v>363</v>
      </c>
      <c r="D12" t="n">
        <v>807</v>
      </c>
      <c r="E12" t="n">
        <v>9.31</v>
      </c>
      <c r="F12" t="n">
        <v>10554</v>
      </c>
    </row>
    <row r="13">
      <c r="A13" t="inlineStr">
        <is>
          <t>あり</t>
        </is>
      </c>
      <c r="B13" t="n">
        <v>0.5</v>
      </c>
      <c r="C13" t="n">
        <v>61</v>
      </c>
      <c r="D13" t="n">
        <v>526</v>
      </c>
      <c r="E13" t="n">
        <v>8.01</v>
      </c>
      <c r="F13" t="n">
        <v>9271</v>
      </c>
    </row>
    <row r="14">
      <c r="A14" t="inlineStr">
        <is>
          <t>あり</t>
        </is>
      </c>
      <c r="B14" t="n">
        <v>0.75</v>
      </c>
      <c r="C14" t="n">
        <v>91</v>
      </c>
      <c r="D14" t="n">
        <v>612</v>
      </c>
      <c r="E14" t="n">
        <v>8.18</v>
      </c>
      <c r="F14" t="n">
        <v>9488</v>
      </c>
    </row>
    <row r="15">
      <c r="A15" t="inlineStr">
        <is>
          <t>あり</t>
        </is>
      </c>
      <c r="B15" t="n">
        <v>1</v>
      </c>
      <c r="C15" t="n">
        <v>121</v>
      </c>
      <c r="D15" t="n">
        <v>704</v>
      </c>
      <c r="E15" t="n">
        <v>8.49</v>
      </c>
      <c r="F15" t="n">
        <v>9777</v>
      </c>
    </row>
    <row r="16">
      <c r="A16" t="inlineStr">
        <is>
          <t>あり</t>
        </is>
      </c>
      <c r="B16" t="n">
        <v>1.25</v>
      </c>
      <c r="C16" t="n">
        <v>151</v>
      </c>
      <c r="D16" t="n">
        <v>815</v>
      </c>
      <c r="E16" t="n">
        <v>8.949999999999999</v>
      </c>
      <c r="F16" t="n">
        <v>10053</v>
      </c>
    </row>
    <row r="17">
      <c r="A17" t="inlineStr">
        <is>
          <t>あり</t>
        </is>
      </c>
      <c r="B17" t="n">
        <v>1.5</v>
      </c>
      <c r="C17" t="n">
        <v>182</v>
      </c>
      <c r="D17" t="n">
        <v>972</v>
      </c>
      <c r="E17" t="n">
        <v>9.289999999999999</v>
      </c>
      <c r="F17" t="n">
        <v>10459</v>
      </c>
    </row>
    <row r="18">
      <c r="A18" t="inlineStr">
        <is>
          <t>あり</t>
        </is>
      </c>
      <c r="B18" t="n">
        <v>1.75</v>
      </c>
      <c r="C18" t="n">
        <v>212</v>
      </c>
      <c r="D18" t="n">
        <v>1179</v>
      </c>
      <c r="E18" t="n">
        <v>9.58</v>
      </c>
      <c r="F18" t="n">
        <v>10901</v>
      </c>
    </row>
    <row r="19">
      <c r="A19" t="inlineStr">
        <is>
          <t>あり</t>
        </is>
      </c>
      <c r="B19" t="n">
        <v>2</v>
      </c>
      <c r="C19" t="n">
        <v>242</v>
      </c>
      <c r="D19" t="n">
        <v>1408</v>
      </c>
      <c r="E19" t="n">
        <v>9.800000000000001</v>
      </c>
      <c r="F19" t="n">
        <v>11271</v>
      </c>
    </row>
    <row r="20">
      <c r="A20" t="inlineStr">
        <is>
          <t>あり</t>
        </is>
      </c>
      <c r="B20" t="n">
        <v>2.5</v>
      </c>
      <c r="C20" t="n">
        <v>303</v>
      </c>
      <c r="D20" t="n">
        <v>1881</v>
      </c>
      <c r="E20" t="n">
        <v>10.18</v>
      </c>
      <c r="F20" t="n">
        <v>12009</v>
      </c>
    </row>
    <row r="21">
      <c r="A21" t="inlineStr">
        <is>
          <t>あり</t>
        </is>
      </c>
      <c r="B21" t="n">
        <v>3</v>
      </c>
      <c r="C21" t="n">
        <v>363</v>
      </c>
      <c r="D21" t="n">
        <v>2247</v>
      </c>
      <c r="E21" t="n">
        <v>10.65</v>
      </c>
      <c r="F21" t="n">
        <v>12615</v>
      </c>
    </row>
    <row r="25">
      <c r="A25" s="3" t="inlineStr">
        <is>
          <t>注: 部分均衡（蓄電池フリート応答・p_system・供給側の内生反応は未反映）。青=泊なし/橙=泊あり。K_wind現状121万kW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北海道: 年間裁定粗利の時系列（円/kW-年、4h・往復効率0.85・60分粒度）</t>
        </is>
      </c>
    </row>
    <row r="3">
      <c r="A3" s="2" t="inlineStr">
        <is>
          <t>年度</t>
        </is>
      </c>
      <c r="B3" s="2" t="inlineStr">
        <is>
          <t>完全予見PF</t>
        </is>
      </c>
      <c r="C3" s="2" t="inlineStr">
        <is>
          <t>a. 前日価格ナイーブ</t>
        </is>
      </c>
      <c r="D3" s="2" t="inlineStr">
        <is>
          <t>b. 前日予測ベース</t>
        </is>
      </c>
      <c r="E3" s="2" t="inlineStr">
        <is>
          <t>c. 平均価格（気候値）</t>
        </is>
      </c>
    </row>
    <row r="4">
      <c r="A4" t="inlineStr">
        <is>
          <t>FY2016</t>
        </is>
      </c>
      <c r="B4" t="n">
        <v>10856</v>
      </c>
      <c r="C4" t="n">
        <v>7729.1</v>
      </c>
      <c r="D4" t="n">
        <v>2435.9</v>
      </c>
      <c r="E4" t="n">
        <v>9150.6</v>
      </c>
    </row>
    <row r="5">
      <c r="A5" t="inlineStr">
        <is>
          <t>FY2017</t>
        </is>
      </c>
      <c r="B5" t="n">
        <v>6356.5</v>
      </c>
      <c r="C5" t="n">
        <v>4592.4</v>
      </c>
      <c r="D5" t="n">
        <v>1105.6</v>
      </c>
      <c r="E5" t="n">
        <v>5197.8</v>
      </c>
    </row>
    <row r="6">
      <c r="A6" t="inlineStr">
        <is>
          <t>FY2018</t>
        </is>
      </c>
      <c r="B6" t="n">
        <v>10302.1</v>
      </c>
      <c r="C6" t="n">
        <v>6818</v>
      </c>
      <c r="D6" t="n">
        <v>1015.6</v>
      </c>
      <c r="E6" t="n">
        <v>8076.4</v>
      </c>
    </row>
    <row r="7">
      <c r="A7" t="inlineStr">
        <is>
          <t>FY2019</t>
        </is>
      </c>
      <c r="B7" t="n">
        <v>8899.1</v>
      </c>
      <c r="C7" t="n">
        <v>5893</v>
      </c>
      <c r="D7" t="n">
        <v>3223.7</v>
      </c>
      <c r="E7" t="n">
        <v>7057.1</v>
      </c>
    </row>
    <row r="8">
      <c r="A8" t="inlineStr">
        <is>
          <t>FY2020</t>
        </is>
      </c>
      <c r="B8" t="n">
        <v>15854</v>
      </c>
      <c r="C8" t="n">
        <v>11755.6</v>
      </c>
      <c r="D8" t="n">
        <v>5796.6</v>
      </c>
      <c r="E8" t="n">
        <v>12932.7</v>
      </c>
    </row>
    <row r="9">
      <c r="A9" t="inlineStr">
        <is>
          <t>FY2021</t>
        </is>
      </c>
      <c r="B9" t="n">
        <v>13530.5</v>
      </c>
      <c r="C9" t="n">
        <v>8879.4</v>
      </c>
      <c r="D9" t="n">
        <v>8217.700000000001</v>
      </c>
      <c r="E9" t="n">
        <v>10338.1</v>
      </c>
    </row>
    <row r="10">
      <c r="A10" t="inlineStr">
        <is>
          <t>FY2022</t>
        </is>
      </c>
      <c r="B10" t="n">
        <v>25159.6</v>
      </c>
      <c r="C10" t="n">
        <v>18730.4</v>
      </c>
      <c r="D10" t="n">
        <v>19369.4</v>
      </c>
      <c r="E10" t="n">
        <v>21017.2</v>
      </c>
    </row>
    <row r="11">
      <c r="A11" t="inlineStr">
        <is>
          <t>FY2023</t>
        </is>
      </c>
      <c r="B11" t="n">
        <v>9873.5</v>
      </c>
      <c r="C11" t="n">
        <v>6734.8</v>
      </c>
      <c r="D11" t="n">
        <v>7634.8</v>
      </c>
      <c r="E11" t="n">
        <v>8151.7</v>
      </c>
    </row>
    <row r="12">
      <c r="A12" t="inlineStr">
        <is>
          <t>FY2024</t>
        </is>
      </c>
      <c r="B12" t="n">
        <v>9586.4</v>
      </c>
      <c r="C12" t="n">
        <v>6520.3</v>
      </c>
      <c r="D12" t="n">
        <v>7497.1</v>
      </c>
      <c r="E12" t="n">
        <v>7723.8</v>
      </c>
    </row>
    <row r="13">
      <c r="A13" t="inlineStr">
        <is>
          <t>FY2025</t>
        </is>
      </c>
      <c r="B13" t="n">
        <v>11492.5</v>
      </c>
      <c r="C13" t="n">
        <v>7968.1</v>
      </c>
      <c r="D13" t="n">
        <v>9280.700000000001</v>
      </c>
      <c r="E13" t="n">
        <v>9406.200000000001</v>
      </c>
    </row>
    <row r="15">
      <c r="A15" s="3" t="inlineStr">
        <is>
          <t>注: FY2018は胆振東部地震の欠測480時間を含む。cは過去28日・同曜日区分の平均価格ランク（分解実験: analysis/16・19）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北海道: 風力変動の帯域分解の推移（分散シェア%、年度別・移動平均カスケード）</t>
        </is>
      </c>
    </row>
    <row r="3">
      <c r="A3" s="2" t="inlineStr">
        <is>
          <t>年度</t>
        </is>
      </c>
      <c r="B3" s="2" t="inlineStr">
        <is>
          <t>&lt;6時間</t>
        </is>
      </c>
      <c r="C3" s="2" t="inlineStr">
        <is>
          <t>6-24時間</t>
        </is>
      </c>
      <c r="D3" s="2" t="inlineStr">
        <is>
          <t>1-7日</t>
        </is>
      </c>
      <c r="E3" s="2" t="inlineStr">
        <is>
          <t>&gt;7日</t>
        </is>
      </c>
    </row>
    <row r="4">
      <c r="A4" t="inlineStr">
        <is>
          <t>FY2016</t>
        </is>
      </c>
      <c r="B4" t="n">
        <v>1.8</v>
      </c>
      <c r="C4" t="n">
        <v>8.300000000000001</v>
      </c>
      <c r="D4" t="n">
        <v>44.9</v>
      </c>
      <c r="E4" t="n">
        <v>28.6</v>
      </c>
    </row>
    <row r="5">
      <c r="A5" t="inlineStr">
        <is>
          <t>FY2017</t>
        </is>
      </c>
      <c r="B5" t="n">
        <v>1.8</v>
      </c>
      <c r="C5" t="n">
        <v>8.699999999999999</v>
      </c>
      <c r="D5" t="n">
        <v>43.4</v>
      </c>
      <c r="E5" t="n">
        <v>32.2</v>
      </c>
    </row>
    <row r="6">
      <c r="A6" t="inlineStr">
        <is>
          <t>FY2018</t>
        </is>
      </c>
      <c r="B6" t="n">
        <v>1.9</v>
      </c>
      <c r="C6" t="n">
        <v>8.300000000000001</v>
      </c>
      <c r="D6" t="n">
        <v>43.5</v>
      </c>
      <c r="E6" t="n">
        <v>27.2</v>
      </c>
    </row>
    <row r="7">
      <c r="A7" t="inlineStr">
        <is>
          <t>FY2019</t>
        </is>
      </c>
      <c r="B7" t="n">
        <v>1.7</v>
      </c>
      <c r="C7" t="n">
        <v>9.1</v>
      </c>
      <c r="D7" t="n">
        <v>41.3</v>
      </c>
      <c r="E7" t="n">
        <v>29.9</v>
      </c>
    </row>
    <row r="8">
      <c r="A8" t="inlineStr">
        <is>
          <t>FY2020</t>
        </is>
      </c>
      <c r="B8" t="n">
        <v>1.6</v>
      </c>
      <c r="C8" t="n">
        <v>8.699999999999999</v>
      </c>
      <c r="D8" t="n">
        <v>39.5</v>
      </c>
      <c r="E8" t="n">
        <v>33.2</v>
      </c>
    </row>
    <row r="9">
      <c r="A9" t="inlineStr">
        <is>
          <t>FY2021</t>
        </is>
      </c>
      <c r="B9" t="n">
        <v>1.5</v>
      </c>
      <c r="C9" t="n">
        <v>8.5</v>
      </c>
      <c r="D9" t="n">
        <v>44.6</v>
      </c>
      <c r="E9" t="n">
        <v>29.9</v>
      </c>
    </row>
    <row r="10">
      <c r="A10" t="inlineStr">
        <is>
          <t>FY2022</t>
        </is>
      </c>
      <c r="B10" t="n">
        <v>1.6</v>
      </c>
      <c r="C10" t="n">
        <v>9.800000000000001</v>
      </c>
      <c r="D10" t="n">
        <v>38.4</v>
      </c>
      <c r="E10" t="n">
        <v>31.2</v>
      </c>
    </row>
    <row r="11">
      <c r="A11" t="inlineStr">
        <is>
          <t>FY2023</t>
        </is>
      </c>
      <c r="B11" t="n">
        <v>1.5</v>
      </c>
      <c r="C11" t="n">
        <v>7</v>
      </c>
      <c r="D11" t="n">
        <v>39.1</v>
      </c>
      <c r="E11" t="n">
        <v>35.5</v>
      </c>
    </row>
    <row r="12">
      <c r="A12" t="inlineStr">
        <is>
          <t>FY2024</t>
        </is>
      </c>
      <c r="B12" t="n">
        <v>2.2</v>
      </c>
      <c r="C12" t="n">
        <v>10.4</v>
      </c>
      <c r="D12" t="n">
        <v>42.2</v>
      </c>
      <c r="E12" t="n">
        <v>25.7</v>
      </c>
    </row>
    <row r="13">
      <c r="A13" t="inlineStr">
        <is>
          <t>FY2025</t>
        </is>
      </c>
      <c r="B13" t="n">
        <v>2.1</v>
      </c>
      <c r="C13" t="n">
        <v>9.5</v>
      </c>
      <c r="D13" t="n">
        <v>42</v>
      </c>
      <c r="E13" t="n">
        <v>27.9</v>
      </c>
    </row>
    <row r="15">
      <c r="A15" s="3" t="inlineStr">
        <is>
          <t>注: 非直交分解（交差項あり、シェア合計≠100%）。各年度内で計算。風力＝フリート集約・制御後出力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30" customWidth="1" min="4" max="4"/>
    <col width="14" customWidth="1" min="5" max="5"/>
  </cols>
  <sheetData>
    <row r="1">
      <c r="A1" s="4" t="inlineStr">
        <is>
          <t>併設（BTM）蓄電池を対象に加える根拠 — 風力抑制の実績・価格内訳・回避価値試算</t>
        </is>
      </c>
    </row>
    <row r="3">
      <c r="A3" s="5" t="inlineStr">
        <is>
          <t>① 風力の出力制御実績</t>
        </is>
      </c>
    </row>
    <row r="4">
      <c r="A4" s="2" t="inlineStr">
        <is>
          <t>年度</t>
        </is>
      </c>
      <c r="B4" s="2" t="inlineStr">
        <is>
          <t>抑制率%</t>
        </is>
      </c>
      <c r="C4" s="2" t="inlineStr">
        <is>
          <t>抑制時間h</t>
        </is>
      </c>
    </row>
    <row r="5">
      <c r="A5" t="inlineStr">
        <is>
          <t>FY2022</t>
        </is>
      </c>
      <c r="B5" t="n">
        <v>0.01</v>
      </c>
      <c r="C5" t="n">
        <v>12</v>
      </c>
    </row>
    <row r="6">
      <c r="A6" t="inlineStr">
        <is>
          <t>FY2023</t>
        </is>
      </c>
      <c r="B6" t="n">
        <v>0</v>
      </c>
      <c r="C6" t="n">
        <v>0</v>
      </c>
    </row>
    <row r="7">
      <c r="A7" t="inlineStr">
        <is>
          <t>FY2024</t>
        </is>
      </c>
      <c r="B7" t="n">
        <v>0.04</v>
      </c>
      <c r="C7" t="n">
        <v>12</v>
      </c>
    </row>
    <row r="8">
      <c r="A8" t="inlineStr">
        <is>
          <t>FY2025</t>
        </is>
      </c>
      <c r="B8" t="n">
        <v>0.1</v>
      </c>
      <c r="C8" t="n">
        <v>109</v>
      </c>
    </row>
    <row r="9">
      <c r="A9" t="inlineStr">
        <is>
          <t>FY2026（4-6月のみ）</t>
        </is>
      </c>
      <c r="B9" t="n">
        <v>1.35</v>
      </c>
      <c r="C9" t="n">
        <v>235</v>
      </c>
    </row>
    <row r="11">
      <c r="A11" s="5" t="inlineStr">
        <is>
          <t>② 抑制発生時間のエリア価格内訳（5円超＝ローカル制約の示唆）</t>
        </is>
      </c>
    </row>
    <row r="12">
      <c r="A12" s="2" t="inlineStr">
        <is>
          <t>年度</t>
        </is>
      </c>
      <c r="B12" s="2" t="inlineStr">
        <is>
          <t>床(≤0.01円)%</t>
        </is>
      </c>
      <c r="C12" s="2" t="inlineStr">
        <is>
          <t>0.01〜5円%</t>
        </is>
      </c>
      <c r="D12" s="2" t="inlineStr">
        <is>
          <t>5円超%</t>
        </is>
      </c>
      <c r="E12" s="2" t="inlineStr">
        <is>
          <t>抑制時間h</t>
        </is>
      </c>
    </row>
    <row r="13">
      <c r="A13" t="inlineStr">
        <is>
          <t>FY2025</t>
        </is>
      </c>
      <c r="B13" t="n">
        <v>59.6</v>
      </c>
      <c r="C13" t="n">
        <v>27.5</v>
      </c>
      <c r="D13" t="n">
        <v>12.8</v>
      </c>
      <c r="E13" t="n">
        <v>109</v>
      </c>
    </row>
    <row r="14">
      <c r="A14" t="inlineStr">
        <is>
          <t>FY2026</t>
        </is>
      </c>
      <c r="B14" t="n">
        <v>68.5</v>
      </c>
      <c r="C14" t="n">
        <v>18.7</v>
      </c>
      <c r="D14" t="n">
        <v>12.8</v>
      </c>
      <c r="E14" t="n">
        <v>235</v>
      </c>
    </row>
    <row r="16">
      <c r="A16" s="5" t="inlineStr">
        <is>
          <t>③ 併設蓄電池の抑制回避価値の上限試算（cf26%・FIP14円/kWh・全量回収仮定）</t>
        </is>
      </c>
    </row>
    <row r="17">
      <c r="A17" s="2" t="inlineStr">
        <is>
          <t>抑制率シナリオ</t>
        </is>
      </c>
      <c r="B17" s="2" t="inlineStr">
        <is>
          <t>抑制電力量(kWh/kW風力-年)</t>
        </is>
      </c>
      <c r="C17" s="2" t="inlineStr">
        <is>
          <t>回避価値上限(円/kW風力-年)</t>
        </is>
      </c>
      <c r="D17" s="2" t="inlineStr">
        <is>
          <t>併設0.64kWh/kWあたり(円/kWh蓄電池-年)</t>
        </is>
      </c>
    </row>
    <row r="18">
      <c r="A18" t="inlineStr">
        <is>
          <t>現状（FY2026上期実測）</t>
        </is>
      </c>
      <c r="B18" t="n">
        <v>31</v>
      </c>
      <c r="C18" t="n">
        <v>430</v>
      </c>
      <c r="D18" t="n">
        <v>673</v>
      </c>
    </row>
    <row r="19">
      <c r="A19" t="inlineStr">
        <is>
          <t>3%（数年内の到達想定）</t>
        </is>
      </c>
      <c r="B19" t="n">
        <v>68</v>
      </c>
      <c r="C19" t="n">
        <v>957</v>
      </c>
      <c r="D19" t="n">
        <v>1495</v>
      </c>
    </row>
    <row r="20">
      <c r="A20" t="inlineStr">
        <is>
          <t>5%</t>
        </is>
      </c>
      <c r="B20" t="n">
        <v>114</v>
      </c>
      <c r="C20" t="n">
        <v>1594</v>
      </c>
      <c r="D20" t="n">
        <v>2491</v>
      </c>
    </row>
    <row r="21">
      <c r="A21" t="inlineStr">
        <is>
          <t>8%（九州太陽光FY2023実績並み）</t>
        </is>
      </c>
      <c r="B21" t="n">
        <v>182</v>
      </c>
      <c r="C21" t="n">
        <v>2551</v>
      </c>
      <c r="D21" t="n">
        <v>3986</v>
      </c>
    </row>
    <row r="23">
      <c r="A23" s="3" t="inlineStr">
        <is>
          <t>注: 回避価値は「蓄電池が抑制分を全量吸収できる」場合の上限。実際は容量制約（系統WG併設前提: 風力1kWあたり0.64kWh）で長時間イベントを取り切れない。5円超の抑制はエリア価格に映らないローカル価値のため、エリア価格ベースのπ_spotはBTM価値を過小評価する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4" t="inlineStr">
        <is>
          <t>帯域分解の比較: 北海道風力 vs 九州太陽光（制御前出力、移動平均カスケード）</t>
        </is>
      </c>
    </row>
    <row r="3">
      <c r="A3" s="5" t="inlineStr">
        <is>
          <t>① 静的比較（FY2022-25プール、分散シェア%）</t>
        </is>
      </c>
    </row>
    <row r="4">
      <c r="A4" s="2" t="inlineStr">
        <is>
          <t>帯域</t>
        </is>
      </c>
      <c r="B4" s="2" t="inlineStr">
        <is>
          <t>北海道 風力</t>
        </is>
      </c>
      <c r="C4" s="2" t="inlineStr">
        <is>
          <t>九州 太陽光</t>
        </is>
      </c>
      <c r="D4" s="2" t="inlineStr">
        <is>
          <t>九州 風力</t>
        </is>
      </c>
      <c r="E4" s="2" t="inlineStr">
        <is>
          <t>北海道 太陽光</t>
        </is>
      </c>
    </row>
    <row r="5">
      <c r="A5" t="inlineStr">
        <is>
          <t>&lt;6時間</t>
        </is>
      </c>
      <c r="B5" t="n">
        <v>1.7</v>
      </c>
      <c r="C5" t="n">
        <v>6.2</v>
      </c>
      <c r="D5" t="n">
        <v>1.8</v>
      </c>
      <c r="E5" t="n">
        <v>6</v>
      </c>
    </row>
    <row r="6">
      <c r="A6" t="inlineStr">
        <is>
          <t>6-24時間</t>
        </is>
      </c>
      <c r="B6" t="n">
        <v>7.9</v>
      </c>
      <c r="C6" t="n">
        <v>65.40000000000001</v>
      </c>
      <c r="D6" t="n">
        <v>7.9</v>
      </c>
      <c r="E6" t="n">
        <v>65.40000000000001</v>
      </c>
    </row>
    <row r="7">
      <c r="A7" t="inlineStr">
        <is>
          <t>1-7日</t>
        </is>
      </c>
      <c r="B7" t="n">
        <v>35.7</v>
      </c>
      <c r="C7" t="n">
        <v>4.7</v>
      </c>
      <c r="D7" t="n">
        <v>44</v>
      </c>
      <c r="E7" t="n">
        <v>4.2</v>
      </c>
    </row>
    <row r="8">
      <c r="A8" t="inlineStr">
        <is>
          <t>&gt;7日</t>
        </is>
      </c>
      <c r="B8" t="n">
        <v>38.6</v>
      </c>
      <c r="C8" t="n">
        <v>3.2</v>
      </c>
      <c r="D8" t="n">
        <v>27.7</v>
      </c>
      <c r="E8" t="n">
        <v>4.7</v>
      </c>
    </row>
    <row r="11">
      <c r="A11" s="5" t="inlineStr">
        <is>
          <t>② 九州太陽光の年度別時系列（分散シェア%）</t>
        </is>
      </c>
    </row>
    <row r="12">
      <c r="A12" s="2" t="inlineStr">
        <is>
          <t>年度</t>
        </is>
      </c>
      <c r="B12" s="2" t="inlineStr">
        <is>
          <t>&lt;6時間</t>
        </is>
      </c>
      <c r="C12" s="2" t="inlineStr">
        <is>
          <t>6-24時間</t>
        </is>
      </c>
      <c r="D12" s="2" t="inlineStr">
        <is>
          <t>1-7日</t>
        </is>
      </c>
      <c r="E12" s="2" t="inlineStr">
        <is>
          <t>&gt;7日</t>
        </is>
      </c>
    </row>
    <row r="13">
      <c r="A13" t="inlineStr">
        <is>
          <t>2016</t>
        </is>
      </c>
      <c r="B13" t="n">
        <v>6.5</v>
      </c>
      <c r="C13" t="n">
        <v>63.5</v>
      </c>
      <c r="D13" t="n">
        <v>5.9</v>
      </c>
      <c r="E13" t="n">
        <v>3</v>
      </c>
    </row>
    <row r="14">
      <c r="A14" t="inlineStr">
        <is>
          <t>2017</t>
        </is>
      </c>
      <c r="B14" t="n">
        <v>6.1</v>
      </c>
      <c r="C14" t="n">
        <v>64.40000000000001</v>
      </c>
      <c r="D14" t="n">
        <v>5.7</v>
      </c>
      <c r="E14" t="n">
        <v>3.8</v>
      </c>
    </row>
    <row r="15">
      <c r="A15" t="inlineStr">
        <is>
          <t>2018</t>
        </is>
      </c>
      <c r="B15" t="n">
        <v>6</v>
      </c>
      <c r="C15" t="n">
        <v>64.7</v>
      </c>
      <c r="D15" t="n">
        <v>5.9</v>
      </c>
      <c r="E15" t="n">
        <v>3.2</v>
      </c>
    </row>
    <row r="16">
      <c r="A16" t="inlineStr">
        <is>
          <t>2019</t>
        </is>
      </c>
      <c r="B16" t="n">
        <v>6</v>
      </c>
      <c r="C16" t="n">
        <v>64.5</v>
      </c>
      <c r="D16" t="n">
        <v>5.6</v>
      </c>
      <c r="E16" t="n">
        <v>3.8</v>
      </c>
    </row>
    <row r="17">
      <c r="A17" t="inlineStr">
        <is>
          <t>2020</t>
        </is>
      </c>
      <c r="B17" t="n">
        <v>6.2</v>
      </c>
      <c r="C17" t="n">
        <v>65.59999999999999</v>
      </c>
      <c r="D17" t="n">
        <v>4.8</v>
      </c>
      <c r="E17" t="n">
        <v>3</v>
      </c>
    </row>
    <row r="18">
      <c r="A18" t="inlineStr">
        <is>
          <t>2021</t>
        </is>
      </c>
      <c r="B18" t="n">
        <v>6.3</v>
      </c>
      <c r="C18" t="n">
        <v>65.59999999999999</v>
      </c>
      <c r="D18" t="n">
        <v>4.4</v>
      </c>
      <c r="E18" t="n">
        <v>3.2</v>
      </c>
    </row>
    <row r="19">
      <c r="A19" t="inlineStr">
        <is>
          <t>2022</t>
        </is>
      </c>
      <c r="B19" t="n">
        <v>6.1</v>
      </c>
      <c r="C19" t="n">
        <v>65.8</v>
      </c>
      <c r="D19" t="n">
        <v>4.6</v>
      </c>
      <c r="E19" t="n">
        <v>3.1</v>
      </c>
    </row>
    <row r="20">
      <c r="A20" t="inlineStr">
        <is>
          <t>2023</t>
        </is>
      </c>
      <c r="B20" t="n">
        <v>6.2</v>
      </c>
      <c r="C20" t="n">
        <v>65</v>
      </c>
      <c r="D20" t="n">
        <v>6</v>
      </c>
      <c r="E20" t="n">
        <v>2.8</v>
      </c>
    </row>
    <row r="21">
      <c r="A21" t="inlineStr">
        <is>
          <t>2024</t>
        </is>
      </c>
      <c r="B21" t="n">
        <v>6.2</v>
      </c>
      <c r="C21" t="n">
        <v>65.3</v>
      </c>
      <c r="D21" t="n">
        <v>4.3</v>
      </c>
      <c r="E21" t="n">
        <v>3.9</v>
      </c>
    </row>
    <row r="22">
      <c r="A22" t="inlineStr">
        <is>
          <t>2025</t>
        </is>
      </c>
      <c r="B22" t="n">
        <v>6.3</v>
      </c>
      <c r="C22" t="n">
        <v>66</v>
      </c>
      <c r="D22" t="n">
        <v>4.2</v>
      </c>
      <c r="E22" t="n">
        <v>2.8</v>
      </c>
    </row>
    <row r="24">
      <c r="A24" s="3" t="inlineStr">
        <is>
          <t>注: いずれも制御前出力（出力+抑制量）。非直交分解のためシェア合計≠100%。①の参考列: 九州風力・北海道太陽光</t>
        </is>
      </c>
    </row>
    <row r="25">
      <c r="A25" s="5" t="inlineStr">
        <is>
          <t>③ 北海道太陽光の年度別時系列（分散シェア%）</t>
        </is>
      </c>
    </row>
    <row r="26">
      <c r="A26" s="2" t="inlineStr">
        <is>
          <t>年度</t>
        </is>
      </c>
      <c r="B26" s="2" t="inlineStr">
        <is>
          <t>&lt;6時間</t>
        </is>
      </c>
      <c r="C26" s="2" t="inlineStr">
        <is>
          <t>6-24時間</t>
        </is>
      </c>
      <c r="D26" s="2" t="inlineStr">
        <is>
          <t>1-7日</t>
        </is>
      </c>
      <c r="E26" s="2" t="inlineStr">
        <is>
          <t>&gt;7日</t>
        </is>
      </c>
    </row>
    <row r="27">
      <c r="A27" t="inlineStr">
        <is>
          <t>2016</t>
        </is>
      </c>
      <c r="B27" t="n">
        <v>6.3</v>
      </c>
      <c r="C27" t="n">
        <v>66</v>
      </c>
      <c r="D27" t="n">
        <v>4.1</v>
      </c>
      <c r="E27" t="n">
        <v>4.2</v>
      </c>
    </row>
    <row r="28">
      <c r="A28" t="inlineStr">
        <is>
          <t>2017</t>
        </is>
      </c>
      <c r="B28" t="n">
        <v>6.4</v>
      </c>
      <c r="C28" t="n">
        <v>64.3</v>
      </c>
      <c r="D28" t="n">
        <v>4.8</v>
      </c>
      <c r="E28" t="n">
        <v>4.9</v>
      </c>
    </row>
    <row r="29">
      <c r="A29" t="inlineStr">
        <is>
          <t>2018</t>
        </is>
      </c>
      <c r="B29" t="n">
        <v>6.4</v>
      </c>
      <c r="C29" t="n">
        <v>64.09999999999999</v>
      </c>
      <c r="D29" t="n">
        <v>4.5</v>
      </c>
      <c r="E29" t="n">
        <v>4.7</v>
      </c>
    </row>
    <row r="30">
      <c r="A30" t="inlineStr">
        <is>
          <t>2019</t>
        </is>
      </c>
      <c r="B30" t="n">
        <v>6.3</v>
      </c>
      <c r="C30" t="n">
        <v>64.59999999999999</v>
      </c>
      <c r="D30" t="n">
        <v>4.5</v>
      </c>
      <c r="E30" t="n">
        <v>5</v>
      </c>
    </row>
    <row r="31">
      <c r="A31" t="inlineStr">
        <is>
          <t>2020</t>
        </is>
      </c>
      <c r="B31" t="n">
        <v>6.6</v>
      </c>
      <c r="C31" t="n">
        <v>65.7</v>
      </c>
      <c r="D31" t="n">
        <v>3.6</v>
      </c>
      <c r="E31" t="n">
        <v>4</v>
      </c>
    </row>
    <row r="32">
      <c r="A32" t="inlineStr">
        <is>
          <t>2021</t>
        </is>
      </c>
      <c r="B32" t="n">
        <v>5.8</v>
      </c>
      <c r="C32" t="n">
        <v>64.5</v>
      </c>
      <c r="D32" t="n">
        <v>4.5</v>
      </c>
      <c r="E32" t="n">
        <v>6.3</v>
      </c>
    </row>
    <row r="33">
      <c r="A33" t="inlineStr">
        <is>
          <t>2022</t>
        </is>
      </c>
      <c r="B33" t="n">
        <v>6.1</v>
      </c>
      <c r="C33" t="n">
        <v>65.40000000000001</v>
      </c>
      <c r="D33" t="n">
        <v>4.2</v>
      </c>
      <c r="E33" t="n">
        <v>4.9</v>
      </c>
    </row>
    <row r="34">
      <c r="A34" t="inlineStr">
        <is>
          <t>2023</t>
        </is>
      </c>
      <c r="B34" t="n">
        <v>6.1</v>
      </c>
      <c r="C34" t="n">
        <v>65.8</v>
      </c>
      <c r="D34" t="n">
        <v>3.9</v>
      </c>
      <c r="E34" t="n">
        <v>4.4</v>
      </c>
    </row>
    <row r="35">
      <c r="A35" t="inlineStr">
        <is>
          <t>2024</t>
        </is>
      </c>
      <c r="B35" t="n">
        <v>6.1</v>
      </c>
      <c r="C35" t="n">
        <v>65.90000000000001</v>
      </c>
      <c r="D35" t="n">
        <v>4.4</v>
      </c>
      <c r="E35" t="n">
        <v>3.9</v>
      </c>
    </row>
    <row r="36">
      <c r="A36" t="inlineStr">
        <is>
          <t>2025</t>
        </is>
      </c>
      <c r="B36" t="n">
        <v>5.9</v>
      </c>
      <c r="C36" t="n">
        <v>65.40000000000001</v>
      </c>
      <c r="D36" t="n">
        <v>4.5</v>
      </c>
      <c r="E36" t="n">
        <v>4.6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4" t="inlineStr">
        <is>
          <t>北海道の時間帯別価格カーブ — 3季節 × 太陽光の大小（FY2023-25、円/kWh）</t>
        </is>
      </c>
    </row>
    <row r="3">
      <c r="A3" s="5" t="inlineStr">
        <is>
          <t>需要期・夏（7-8月）</t>
        </is>
      </c>
      <c r="D3" s="5" t="inlineStr">
        <is>
          <t>需要期・冬（12-2月）</t>
        </is>
      </c>
      <c r="G3" s="5" t="inlineStr">
        <is>
          <t>不需要期（3-6・10-11月）</t>
        </is>
      </c>
    </row>
    <row r="4">
      <c r="A4" s="2" t="inlineStr">
        <is>
          <t>時刻</t>
        </is>
      </c>
      <c r="B4" s="2" t="inlineStr">
        <is>
          <t>太陽光大</t>
        </is>
      </c>
      <c r="C4" s="2" t="inlineStr">
        <is>
          <t>太陽光小</t>
        </is>
      </c>
      <c r="D4" s="2" t="inlineStr">
        <is>
          <t>時刻</t>
        </is>
      </c>
      <c r="E4" s="2" t="inlineStr">
        <is>
          <t>太陽光大</t>
        </is>
      </c>
      <c r="F4" s="2" t="inlineStr">
        <is>
          <t>太陽光小</t>
        </is>
      </c>
      <c r="G4" s="2" t="inlineStr">
        <is>
          <t>時刻</t>
        </is>
      </c>
      <c r="H4" s="2" t="inlineStr">
        <is>
          <t>太陽光大</t>
        </is>
      </c>
      <c r="I4" s="2" t="inlineStr">
        <is>
          <t>太陽光小</t>
        </is>
      </c>
    </row>
    <row r="5">
      <c r="A5" t="n">
        <v>0</v>
      </c>
      <c r="B5" t="n">
        <v>11.76</v>
      </c>
      <c r="C5" t="n">
        <v>11.78</v>
      </c>
      <c r="D5" t="n">
        <v>0</v>
      </c>
      <c r="E5" t="n">
        <v>11.65</v>
      </c>
      <c r="F5" t="n">
        <v>11.26</v>
      </c>
      <c r="G5" t="n">
        <v>0</v>
      </c>
      <c r="H5" t="n">
        <v>11.72</v>
      </c>
      <c r="I5" t="n">
        <v>11.85</v>
      </c>
    </row>
    <row r="6">
      <c r="A6" t="n">
        <v>1</v>
      </c>
      <c r="B6" t="n">
        <v>10.69</v>
      </c>
      <c r="C6" t="n">
        <v>10.96</v>
      </c>
      <c r="D6" t="n">
        <v>1</v>
      </c>
      <c r="E6" t="n">
        <v>11.48</v>
      </c>
      <c r="F6" t="n">
        <v>11.19</v>
      </c>
      <c r="G6" t="n">
        <v>1</v>
      </c>
      <c r="H6" t="n">
        <v>11.34</v>
      </c>
      <c r="I6" t="n">
        <v>11.57</v>
      </c>
    </row>
    <row r="7">
      <c r="A7" t="n">
        <v>2</v>
      </c>
      <c r="B7" t="n">
        <v>10.77</v>
      </c>
      <c r="C7" t="n">
        <v>11.15</v>
      </c>
      <c r="D7" t="n">
        <v>2</v>
      </c>
      <c r="E7" t="n">
        <v>11.63</v>
      </c>
      <c r="F7" t="n">
        <v>11.32</v>
      </c>
      <c r="G7" t="n">
        <v>2</v>
      </c>
      <c r="H7" t="n">
        <v>11.52</v>
      </c>
      <c r="I7" t="n">
        <v>11.79</v>
      </c>
    </row>
    <row r="8">
      <c r="A8" t="n">
        <v>3</v>
      </c>
      <c r="B8" t="n">
        <v>11.21</v>
      </c>
      <c r="C8" t="n">
        <v>11.42</v>
      </c>
      <c r="D8" t="n">
        <v>3</v>
      </c>
      <c r="E8" t="n">
        <v>11.83</v>
      </c>
      <c r="F8" t="n">
        <v>11.3</v>
      </c>
      <c r="G8" t="n">
        <v>3</v>
      </c>
      <c r="H8" t="n">
        <v>11.82</v>
      </c>
      <c r="I8" t="n">
        <v>12.07</v>
      </c>
    </row>
    <row r="9">
      <c r="A9" t="n">
        <v>4</v>
      </c>
      <c r="B9" t="n">
        <v>11.44</v>
      </c>
      <c r="C9" t="n">
        <v>11.61</v>
      </c>
      <c r="D9" t="n">
        <v>4</v>
      </c>
      <c r="E9" t="n">
        <v>12.01</v>
      </c>
      <c r="F9" t="n">
        <v>11.35</v>
      </c>
      <c r="G9" t="n">
        <v>4</v>
      </c>
      <c r="H9" t="n">
        <v>12.01</v>
      </c>
      <c r="I9" t="n">
        <v>12.22</v>
      </c>
    </row>
    <row r="10">
      <c r="A10" t="n">
        <v>5</v>
      </c>
      <c r="B10" t="n">
        <v>10.52</v>
      </c>
      <c r="C10" t="n">
        <v>11.15</v>
      </c>
      <c r="D10" t="n">
        <v>5</v>
      </c>
      <c r="E10" t="n">
        <v>12.15</v>
      </c>
      <c r="F10" t="n">
        <v>11.48</v>
      </c>
      <c r="G10" t="n">
        <v>5</v>
      </c>
      <c r="H10" t="n">
        <v>11.7</v>
      </c>
      <c r="I10" t="n">
        <v>12.4</v>
      </c>
    </row>
    <row r="11">
      <c r="A11" t="n">
        <v>6</v>
      </c>
      <c r="B11" t="n">
        <v>9.779999999999999</v>
      </c>
      <c r="C11" t="n">
        <v>10.57</v>
      </c>
      <c r="D11" t="n">
        <v>6</v>
      </c>
      <c r="E11" t="n">
        <v>13.45</v>
      </c>
      <c r="F11" t="n">
        <v>12.55</v>
      </c>
      <c r="G11" t="n">
        <v>6</v>
      </c>
      <c r="H11" t="n">
        <v>10.3</v>
      </c>
      <c r="I11" t="n">
        <v>12.74</v>
      </c>
    </row>
    <row r="12">
      <c r="A12" t="n">
        <v>7</v>
      </c>
      <c r="B12" t="n">
        <v>8.59</v>
      </c>
      <c r="C12" t="n">
        <v>10.43</v>
      </c>
      <c r="D12" t="n">
        <v>7</v>
      </c>
      <c r="E12" t="n">
        <v>13.38</v>
      </c>
      <c r="F12" t="n">
        <v>12.78</v>
      </c>
      <c r="G12" t="n">
        <v>7</v>
      </c>
      <c r="H12" t="n">
        <v>7.67</v>
      </c>
      <c r="I12" t="n">
        <v>11.66</v>
      </c>
    </row>
    <row r="13">
      <c r="A13" t="n">
        <v>8</v>
      </c>
      <c r="B13" t="n">
        <v>9.18</v>
      </c>
      <c r="C13" t="n">
        <v>11.14</v>
      </c>
      <c r="D13" t="n">
        <v>8</v>
      </c>
      <c r="E13" t="n">
        <v>12.59</v>
      </c>
      <c r="F13" t="n">
        <v>12.75</v>
      </c>
      <c r="G13" t="n">
        <v>8</v>
      </c>
      <c r="H13" t="n">
        <v>6.41</v>
      </c>
      <c r="I13" t="n">
        <v>11.03</v>
      </c>
    </row>
    <row r="14">
      <c r="A14" t="n">
        <v>9</v>
      </c>
      <c r="B14" t="n">
        <v>8.58</v>
      </c>
      <c r="C14" t="n">
        <v>11.41</v>
      </c>
      <c r="D14" t="n">
        <v>9</v>
      </c>
      <c r="E14" t="n">
        <v>11.26</v>
      </c>
      <c r="F14" t="n">
        <v>12.23</v>
      </c>
      <c r="G14" t="n">
        <v>9</v>
      </c>
      <c r="H14" t="n">
        <v>5.28</v>
      </c>
      <c r="I14" t="n">
        <v>10.51</v>
      </c>
    </row>
    <row r="15">
      <c r="A15" t="n">
        <v>10</v>
      </c>
      <c r="B15" t="n">
        <v>7.56</v>
      </c>
      <c r="C15" t="n">
        <v>10.35</v>
      </c>
      <c r="D15" t="n">
        <v>10</v>
      </c>
      <c r="E15" t="n">
        <v>9.6</v>
      </c>
      <c r="F15" t="n">
        <v>11</v>
      </c>
      <c r="G15" t="n">
        <v>10</v>
      </c>
      <c r="H15" t="n">
        <v>4.06</v>
      </c>
      <c r="I15" t="n">
        <v>9.210000000000001</v>
      </c>
    </row>
    <row r="16">
      <c r="A16" t="n">
        <v>11</v>
      </c>
      <c r="B16" t="n">
        <v>7.68</v>
      </c>
      <c r="C16" t="n">
        <v>10.66</v>
      </c>
      <c r="D16" t="n">
        <v>11</v>
      </c>
      <c r="E16" t="n">
        <v>8.619999999999999</v>
      </c>
      <c r="F16" t="n">
        <v>10.38</v>
      </c>
      <c r="G16" t="n">
        <v>11</v>
      </c>
      <c r="H16" t="n">
        <v>3.81</v>
      </c>
      <c r="I16" t="n">
        <v>8.869999999999999</v>
      </c>
    </row>
    <row r="17">
      <c r="A17" t="n">
        <v>12</v>
      </c>
      <c r="B17" t="n">
        <v>7.21</v>
      </c>
      <c r="C17" t="n">
        <v>9.67</v>
      </c>
      <c r="D17" t="n">
        <v>12</v>
      </c>
      <c r="E17" t="n">
        <v>7.83</v>
      </c>
      <c r="F17" t="n">
        <v>9.33</v>
      </c>
      <c r="G17" t="n">
        <v>12</v>
      </c>
      <c r="H17" t="n">
        <v>3.33</v>
      </c>
      <c r="I17" t="n">
        <v>7.78</v>
      </c>
    </row>
    <row r="18">
      <c r="A18" t="n">
        <v>13</v>
      </c>
      <c r="B18" t="n">
        <v>9.789999999999999</v>
      </c>
      <c r="C18" t="n">
        <v>12.14</v>
      </c>
      <c r="D18" t="n">
        <v>13</v>
      </c>
      <c r="E18" t="n">
        <v>8.98</v>
      </c>
      <c r="F18" t="n">
        <v>11.17</v>
      </c>
      <c r="G18" t="n">
        <v>13</v>
      </c>
      <c r="H18" t="n">
        <v>5.14</v>
      </c>
      <c r="I18" t="n">
        <v>9.77</v>
      </c>
    </row>
    <row r="19">
      <c r="A19" t="n">
        <v>14</v>
      </c>
      <c r="B19" t="n">
        <v>11.26</v>
      </c>
      <c r="C19" t="n">
        <v>13.52</v>
      </c>
      <c r="D19" t="n">
        <v>14</v>
      </c>
      <c r="E19" t="n">
        <v>10.18</v>
      </c>
      <c r="F19" t="n">
        <v>11.31</v>
      </c>
      <c r="G19" t="n">
        <v>14</v>
      </c>
      <c r="H19" t="n">
        <v>6.75</v>
      </c>
      <c r="I19" t="n">
        <v>11.24</v>
      </c>
    </row>
    <row r="20">
      <c r="A20" t="n">
        <v>15</v>
      </c>
      <c r="B20" t="n">
        <v>13.79</v>
      </c>
      <c r="C20" t="n">
        <v>14.82</v>
      </c>
      <c r="D20" t="n">
        <v>15</v>
      </c>
      <c r="E20" t="n">
        <v>11.97</v>
      </c>
      <c r="F20" t="n">
        <v>12.69</v>
      </c>
      <c r="G20" t="n">
        <v>15</v>
      </c>
      <c r="H20" t="n">
        <v>9.300000000000001</v>
      </c>
      <c r="I20" t="n">
        <v>12.94</v>
      </c>
    </row>
    <row r="21">
      <c r="A21" t="n">
        <v>16</v>
      </c>
      <c r="B21" t="n">
        <v>16.76</v>
      </c>
      <c r="C21" t="n">
        <v>17.48</v>
      </c>
      <c r="D21" t="n">
        <v>16</v>
      </c>
      <c r="E21" t="n">
        <v>13.59</v>
      </c>
      <c r="F21" t="n">
        <v>13.57</v>
      </c>
      <c r="G21" t="n">
        <v>16</v>
      </c>
      <c r="H21" t="n">
        <v>12.52</v>
      </c>
      <c r="I21" t="n">
        <v>15.41</v>
      </c>
    </row>
    <row r="22">
      <c r="A22" t="n">
        <v>17</v>
      </c>
      <c r="B22" t="n">
        <v>18.11</v>
      </c>
      <c r="C22" t="n">
        <v>18.35</v>
      </c>
      <c r="D22" t="n">
        <v>17</v>
      </c>
      <c r="E22" t="n">
        <v>14.86</v>
      </c>
      <c r="F22" t="n">
        <v>14.09</v>
      </c>
      <c r="G22" t="n">
        <v>17</v>
      </c>
      <c r="H22" t="n">
        <v>14.42</v>
      </c>
      <c r="I22" t="n">
        <v>16.11</v>
      </c>
    </row>
    <row r="23">
      <c r="A23" t="n">
        <v>18</v>
      </c>
      <c r="B23" t="n">
        <v>19.74</v>
      </c>
      <c r="C23" t="n">
        <v>19</v>
      </c>
      <c r="D23" t="n">
        <v>18</v>
      </c>
      <c r="E23" t="n">
        <v>14.8</v>
      </c>
      <c r="F23" t="n">
        <v>13.88</v>
      </c>
      <c r="G23" t="n">
        <v>18</v>
      </c>
      <c r="H23" t="n">
        <v>15.55</v>
      </c>
      <c r="I23" t="n">
        <v>15.96</v>
      </c>
    </row>
    <row r="24">
      <c r="A24" t="n">
        <v>19</v>
      </c>
      <c r="B24" t="n">
        <v>18.6</v>
      </c>
      <c r="C24" t="n">
        <v>18.55</v>
      </c>
      <c r="D24" t="n">
        <v>19</v>
      </c>
      <c r="E24" t="n">
        <v>14.12</v>
      </c>
      <c r="F24" t="n">
        <v>13.31</v>
      </c>
      <c r="G24" t="n">
        <v>19</v>
      </c>
      <c r="H24" t="n">
        <v>15.35</v>
      </c>
      <c r="I24" t="n">
        <v>15.42</v>
      </c>
    </row>
    <row r="25">
      <c r="A25" t="n">
        <v>20</v>
      </c>
      <c r="B25" t="n">
        <v>17.32</v>
      </c>
      <c r="C25" t="n">
        <v>16.51</v>
      </c>
      <c r="D25" t="n">
        <v>20</v>
      </c>
      <c r="E25" t="n">
        <v>13.64</v>
      </c>
      <c r="F25" t="n">
        <v>13.03</v>
      </c>
      <c r="G25" t="n">
        <v>20</v>
      </c>
      <c r="H25" t="n">
        <v>14.14</v>
      </c>
      <c r="I25" t="n">
        <v>14.5</v>
      </c>
    </row>
    <row r="26">
      <c r="A26" t="n">
        <v>21</v>
      </c>
      <c r="B26" t="n">
        <v>14.7</v>
      </c>
      <c r="C26" t="n">
        <v>15.05</v>
      </c>
      <c r="D26" t="n">
        <v>21</v>
      </c>
      <c r="E26" t="n">
        <v>13.01</v>
      </c>
      <c r="F26" t="n">
        <v>12.28</v>
      </c>
      <c r="G26" t="n">
        <v>21</v>
      </c>
      <c r="H26" t="n">
        <v>13.02</v>
      </c>
      <c r="I26" t="n">
        <v>13.3</v>
      </c>
    </row>
    <row r="27">
      <c r="A27" t="n">
        <v>22</v>
      </c>
      <c r="B27" t="n">
        <v>13.57</v>
      </c>
      <c r="C27" t="n">
        <v>13.33</v>
      </c>
      <c r="D27" t="n">
        <v>22</v>
      </c>
      <c r="E27" t="n">
        <v>12.06</v>
      </c>
      <c r="F27" t="n">
        <v>11.22</v>
      </c>
      <c r="G27" t="n">
        <v>22</v>
      </c>
      <c r="H27" t="n">
        <v>12.36</v>
      </c>
      <c r="I27" t="n">
        <v>12.71</v>
      </c>
    </row>
    <row r="28">
      <c r="A28" t="n">
        <v>23</v>
      </c>
      <c r="B28" t="n">
        <v>12.48</v>
      </c>
      <c r="C28" t="n">
        <v>12.1</v>
      </c>
      <c r="D28" t="n">
        <v>23</v>
      </c>
      <c r="E28" t="n">
        <v>11.73</v>
      </c>
      <c r="F28" t="n">
        <v>11.21</v>
      </c>
      <c r="G28" t="n">
        <v>23</v>
      </c>
      <c r="H28" t="n">
        <v>11.81</v>
      </c>
      <c r="I28" t="n">
        <v>12.18</v>
      </c>
    </row>
    <row r="29">
      <c r="A29" s="3" t="inlineStr">
        <is>
          <t>注: 太陽光大/小＝各季節内で日次太陽光発電量（出力制御前）の上位/下位1/3の日（日数: 需要期・夏 62日:62日 / 需要期・冬 91日:91日 / 不需要期 183日:183日）。60分平均価格の時刻別平均。季節定義は月で編集可能（analysis/15）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風力大/小の日の時間帯別価格カーブ（3季節、FY2023-25、円/kWh）</t>
        </is>
      </c>
    </row>
    <row r="3">
      <c r="A3" s="5" t="inlineStr">
        <is>
          <t>需要期・夏（7-8月）</t>
        </is>
      </c>
      <c r="D3" s="5" t="inlineStr">
        <is>
          <t>需要期・冬（12-2月）</t>
        </is>
      </c>
      <c r="G3" s="5" t="inlineStr">
        <is>
          <t>不需要期（3-6・10-11月）</t>
        </is>
      </c>
    </row>
    <row r="4">
      <c r="A4" s="2" t="inlineStr">
        <is>
          <t>時刻</t>
        </is>
      </c>
      <c r="B4" s="2" t="inlineStr">
        <is>
          <t>風力大</t>
        </is>
      </c>
      <c r="C4" s="2" t="inlineStr">
        <is>
          <t>風力小</t>
        </is>
      </c>
      <c r="D4" s="2" t="inlineStr">
        <is>
          <t>時刻</t>
        </is>
      </c>
      <c r="E4" s="2" t="inlineStr">
        <is>
          <t>風力大</t>
        </is>
      </c>
      <c r="F4" s="2" t="inlineStr">
        <is>
          <t>風力小</t>
        </is>
      </c>
      <c r="G4" s="2" t="inlineStr">
        <is>
          <t>時刻</t>
        </is>
      </c>
      <c r="H4" s="2" t="inlineStr">
        <is>
          <t>風力大</t>
        </is>
      </c>
      <c r="I4" s="2" t="inlineStr">
        <is>
          <t>風力小</t>
        </is>
      </c>
    </row>
    <row r="5">
      <c r="A5" t="n">
        <v>0</v>
      </c>
      <c r="B5" t="n">
        <v>11.31</v>
      </c>
      <c r="C5" t="n">
        <v>12.33</v>
      </c>
      <c r="D5" t="n">
        <v>0</v>
      </c>
      <c r="E5" t="n">
        <v>10.92</v>
      </c>
      <c r="F5" t="n">
        <v>12.45</v>
      </c>
      <c r="G5" t="n">
        <v>0</v>
      </c>
      <c r="H5" t="n">
        <v>11.24</v>
      </c>
      <c r="I5" t="n">
        <v>12.56</v>
      </c>
    </row>
    <row r="6">
      <c r="A6" t="n">
        <v>1</v>
      </c>
      <c r="B6" t="n">
        <v>10.5</v>
      </c>
      <c r="C6" t="n">
        <v>11.34</v>
      </c>
      <c r="D6" t="n">
        <v>1</v>
      </c>
      <c r="E6" t="n">
        <v>10.73</v>
      </c>
      <c r="F6" t="n">
        <v>12.27</v>
      </c>
      <c r="G6" t="n">
        <v>1</v>
      </c>
      <c r="H6" t="n">
        <v>10.98</v>
      </c>
      <c r="I6" t="n">
        <v>12.12</v>
      </c>
    </row>
    <row r="7">
      <c r="A7" t="n">
        <v>2</v>
      </c>
      <c r="B7" t="n">
        <v>10.68</v>
      </c>
      <c r="C7" t="n">
        <v>11.37</v>
      </c>
      <c r="D7" t="n">
        <v>2</v>
      </c>
      <c r="E7" t="n">
        <v>10.85</v>
      </c>
      <c r="F7" t="n">
        <v>12.34</v>
      </c>
      <c r="G7" t="n">
        <v>2</v>
      </c>
      <c r="H7" t="n">
        <v>11.19</v>
      </c>
      <c r="I7" t="n">
        <v>12.35</v>
      </c>
    </row>
    <row r="8">
      <c r="A8" t="n">
        <v>3</v>
      </c>
      <c r="B8" t="n">
        <v>11.04</v>
      </c>
      <c r="C8" t="n">
        <v>11.84</v>
      </c>
      <c r="D8" t="n">
        <v>3</v>
      </c>
      <c r="E8" t="n">
        <v>10.91</v>
      </c>
      <c r="F8" t="n">
        <v>12.5</v>
      </c>
      <c r="G8" t="n">
        <v>3</v>
      </c>
      <c r="H8" t="n">
        <v>11.5</v>
      </c>
      <c r="I8" t="n">
        <v>12.75</v>
      </c>
    </row>
    <row r="9">
      <c r="A9" t="n">
        <v>4</v>
      </c>
      <c r="B9" t="n">
        <v>11.05</v>
      </c>
      <c r="C9" t="n">
        <v>12.1</v>
      </c>
      <c r="D9" t="n">
        <v>4</v>
      </c>
      <c r="E9" t="n">
        <v>11</v>
      </c>
      <c r="F9" t="n">
        <v>12.75</v>
      </c>
      <c r="G9" t="n">
        <v>4</v>
      </c>
      <c r="H9" t="n">
        <v>11.62</v>
      </c>
      <c r="I9" t="n">
        <v>13.03</v>
      </c>
    </row>
    <row r="10">
      <c r="A10" t="n">
        <v>5</v>
      </c>
      <c r="B10" t="n">
        <v>10.31</v>
      </c>
      <c r="C10" t="n">
        <v>11.41</v>
      </c>
      <c r="D10" t="n">
        <v>5</v>
      </c>
      <c r="E10" t="n">
        <v>11.43</v>
      </c>
      <c r="F10" t="n">
        <v>12.91</v>
      </c>
      <c r="G10" t="n">
        <v>5</v>
      </c>
      <c r="H10" t="n">
        <v>11.67</v>
      </c>
      <c r="I10" t="n">
        <v>13.09</v>
      </c>
    </row>
    <row r="11">
      <c r="A11" t="n">
        <v>6</v>
      </c>
      <c r="B11" t="n">
        <v>9.619999999999999</v>
      </c>
      <c r="C11" t="n">
        <v>10.83</v>
      </c>
      <c r="D11" t="n">
        <v>6</v>
      </c>
      <c r="E11" t="n">
        <v>12.42</v>
      </c>
      <c r="F11" t="n">
        <v>14.28</v>
      </c>
      <c r="G11" t="n">
        <v>6</v>
      </c>
      <c r="H11" t="n">
        <v>11.31</v>
      </c>
      <c r="I11" t="n">
        <v>12.5</v>
      </c>
    </row>
    <row r="12">
      <c r="A12" t="n">
        <v>7</v>
      </c>
      <c r="B12" t="n">
        <v>8.98</v>
      </c>
      <c r="C12" t="n">
        <v>10.01</v>
      </c>
      <c r="D12" t="n">
        <v>7</v>
      </c>
      <c r="E12" t="n">
        <v>12.53</v>
      </c>
      <c r="F12" t="n">
        <v>14.25</v>
      </c>
      <c r="G12" t="n">
        <v>7</v>
      </c>
      <c r="H12" t="n">
        <v>9.109999999999999</v>
      </c>
      <c r="I12" t="n">
        <v>10.46</v>
      </c>
    </row>
    <row r="13">
      <c r="A13" t="n">
        <v>8</v>
      </c>
      <c r="B13" t="n">
        <v>9.699999999999999</v>
      </c>
      <c r="C13" t="n">
        <v>10.59</v>
      </c>
      <c r="D13" t="n">
        <v>8</v>
      </c>
      <c r="E13" t="n">
        <v>11.92</v>
      </c>
      <c r="F13" t="n">
        <v>13.61</v>
      </c>
      <c r="G13" t="n">
        <v>8</v>
      </c>
      <c r="H13" t="n">
        <v>8.06</v>
      </c>
      <c r="I13" t="n">
        <v>9.65</v>
      </c>
    </row>
    <row r="14">
      <c r="A14" t="n">
        <v>9</v>
      </c>
      <c r="B14" t="n">
        <v>9.710000000000001</v>
      </c>
      <c r="C14" t="n">
        <v>10.41</v>
      </c>
      <c r="D14" t="n">
        <v>9</v>
      </c>
      <c r="E14" t="n">
        <v>11.09</v>
      </c>
      <c r="F14" t="n">
        <v>12.22</v>
      </c>
      <c r="G14" t="n">
        <v>9</v>
      </c>
      <c r="H14" t="n">
        <v>7.21</v>
      </c>
      <c r="I14" t="n">
        <v>8.69</v>
      </c>
    </row>
    <row r="15">
      <c r="A15" t="n">
        <v>10</v>
      </c>
      <c r="B15" t="n">
        <v>8.6</v>
      </c>
      <c r="C15" t="n">
        <v>9.369999999999999</v>
      </c>
      <c r="D15" t="n">
        <v>10</v>
      </c>
      <c r="E15" t="n">
        <v>9.539999999999999</v>
      </c>
      <c r="F15" t="n">
        <v>10.87</v>
      </c>
      <c r="G15" t="n">
        <v>10</v>
      </c>
      <c r="H15" t="n">
        <v>5.99</v>
      </c>
      <c r="I15" t="n">
        <v>7.5</v>
      </c>
    </row>
    <row r="16">
      <c r="A16" t="n">
        <v>11</v>
      </c>
      <c r="B16" t="n">
        <v>8.630000000000001</v>
      </c>
      <c r="C16" t="n">
        <v>9.720000000000001</v>
      </c>
      <c r="D16" t="n">
        <v>11</v>
      </c>
      <c r="E16" t="n">
        <v>8.699999999999999</v>
      </c>
      <c r="F16" t="n">
        <v>9.880000000000001</v>
      </c>
      <c r="G16" t="n">
        <v>11</v>
      </c>
      <c r="H16" t="n">
        <v>5.67</v>
      </c>
      <c r="I16" t="n">
        <v>7.16</v>
      </c>
    </row>
    <row r="17">
      <c r="A17" t="n">
        <v>12</v>
      </c>
      <c r="B17" t="n">
        <v>8.1</v>
      </c>
      <c r="C17" t="n">
        <v>8.9</v>
      </c>
      <c r="D17" t="n">
        <v>12</v>
      </c>
      <c r="E17" t="n">
        <v>7.79</v>
      </c>
      <c r="F17" t="n">
        <v>9.18</v>
      </c>
      <c r="G17" t="n">
        <v>12</v>
      </c>
      <c r="H17" t="n">
        <v>4.91</v>
      </c>
      <c r="I17" t="n">
        <v>6.25</v>
      </c>
    </row>
    <row r="18">
      <c r="A18" t="n">
        <v>13</v>
      </c>
      <c r="B18" t="n">
        <v>10.37</v>
      </c>
      <c r="C18" t="n">
        <v>11.46</v>
      </c>
      <c r="D18" t="n">
        <v>13</v>
      </c>
      <c r="E18" t="n">
        <v>9.279999999999999</v>
      </c>
      <c r="F18" t="n">
        <v>10.49</v>
      </c>
      <c r="G18" t="n">
        <v>13</v>
      </c>
      <c r="H18" t="n">
        <v>6.71</v>
      </c>
      <c r="I18" t="n">
        <v>8.5</v>
      </c>
    </row>
    <row r="19">
      <c r="A19" t="n">
        <v>14</v>
      </c>
      <c r="B19" t="n">
        <v>12.05</v>
      </c>
      <c r="C19" t="n">
        <v>12.68</v>
      </c>
      <c r="D19" t="n">
        <v>14</v>
      </c>
      <c r="E19" t="n">
        <v>10.02</v>
      </c>
      <c r="F19" t="n">
        <v>11.43</v>
      </c>
      <c r="G19" t="n">
        <v>14</v>
      </c>
      <c r="H19" t="n">
        <v>7.97</v>
      </c>
      <c r="I19" t="n">
        <v>10.36</v>
      </c>
    </row>
    <row r="20">
      <c r="A20" t="n">
        <v>15</v>
      </c>
      <c r="B20" t="n">
        <v>13.6</v>
      </c>
      <c r="C20" t="n">
        <v>15.2</v>
      </c>
      <c r="D20" t="n">
        <v>15</v>
      </c>
      <c r="E20" t="n">
        <v>11.59</v>
      </c>
      <c r="F20" t="n">
        <v>13.69</v>
      </c>
      <c r="G20" t="n">
        <v>15</v>
      </c>
      <c r="H20" t="n">
        <v>10.19</v>
      </c>
      <c r="I20" t="n">
        <v>12.66</v>
      </c>
    </row>
    <row r="21">
      <c r="A21" t="n">
        <v>16</v>
      </c>
      <c r="B21" t="n">
        <v>16.32</v>
      </c>
      <c r="C21" t="n">
        <v>17.57</v>
      </c>
      <c r="D21" t="n">
        <v>16</v>
      </c>
      <c r="E21" t="n">
        <v>13.42</v>
      </c>
      <c r="F21" t="n">
        <v>15.17</v>
      </c>
      <c r="G21" t="n">
        <v>16</v>
      </c>
      <c r="H21" t="n">
        <v>13.15</v>
      </c>
      <c r="I21" t="n">
        <v>15.41</v>
      </c>
    </row>
    <row r="22">
      <c r="A22" t="n">
        <v>17</v>
      </c>
      <c r="B22" t="n">
        <v>17.38</v>
      </c>
      <c r="C22" t="n">
        <v>18.7</v>
      </c>
      <c r="D22" t="n">
        <v>17</v>
      </c>
      <c r="E22" t="n">
        <v>13.98</v>
      </c>
      <c r="F22" t="n">
        <v>15.82</v>
      </c>
      <c r="G22" t="n">
        <v>17</v>
      </c>
      <c r="H22" t="n">
        <v>14.48</v>
      </c>
      <c r="I22" t="n">
        <v>16.64</v>
      </c>
    </row>
    <row r="23">
      <c r="A23" t="n">
        <v>18</v>
      </c>
      <c r="B23" t="n">
        <v>18.49</v>
      </c>
      <c r="C23" t="n">
        <v>20.51</v>
      </c>
      <c r="D23" t="n">
        <v>18</v>
      </c>
      <c r="E23" t="n">
        <v>13.79</v>
      </c>
      <c r="F23" t="n">
        <v>15.44</v>
      </c>
      <c r="G23" t="n">
        <v>18</v>
      </c>
      <c r="H23" t="n">
        <v>15.1</v>
      </c>
      <c r="I23" t="n">
        <v>16.81</v>
      </c>
    </row>
    <row r="24">
      <c r="A24" t="n">
        <v>19</v>
      </c>
      <c r="B24" t="n">
        <v>18.03</v>
      </c>
      <c r="C24" t="n">
        <v>19.38</v>
      </c>
      <c r="D24" t="n">
        <v>19</v>
      </c>
      <c r="E24" t="n">
        <v>13.16</v>
      </c>
      <c r="F24" t="n">
        <v>14.65</v>
      </c>
      <c r="G24" t="n">
        <v>19</v>
      </c>
      <c r="H24" t="n">
        <v>14.9</v>
      </c>
      <c r="I24" t="n">
        <v>16.48</v>
      </c>
    </row>
    <row r="25">
      <c r="A25" t="n">
        <v>20</v>
      </c>
      <c r="B25" t="n">
        <v>16.63</v>
      </c>
      <c r="C25" t="n">
        <v>17.61</v>
      </c>
      <c r="D25" t="n">
        <v>20</v>
      </c>
      <c r="E25" t="n">
        <v>12.99</v>
      </c>
      <c r="F25" t="n">
        <v>14.05</v>
      </c>
      <c r="G25" t="n">
        <v>20</v>
      </c>
      <c r="H25" t="n">
        <v>13.88</v>
      </c>
      <c r="I25" t="n">
        <v>15.35</v>
      </c>
    </row>
    <row r="26">
      <c r="A26" t="n">
        <v>21</v>
      </c>
      <c r="B26" t="n">
        <v>14.4</v>
      </c>
      <c r="C26" t="n">
        <v>15.62</v>
      </c>
      <c r="D26" t="n">
        <v>21</v>
      </c>
      <c r="E26" t="n">
        <v>12.47</v>
      </c>
      <c r="F26" t="n">
        <v>13.26</v>
      </c>
      <c r="G26" t="n">
        <v>21</v>
      </c>
      <c r="H26" t="n">
        <v>12.69</v>
      </c>
      <c r="I26" t="n">
        <v>14.01</v>
      </c>
    </row>
    <row r="27">
      <c r="A27" t="n">
        <v>22</v>
      </c>
      <c r="B27" t="n">
        <v>12.88</v>
      </c>
      <c r="C27" t="n">
        <v>14.26</v>
      </c>
      <c r="D27" t="n">
        <v>22</v>
      </c>
      <c r="E27" t="n">
        <v>11.5</v>
      </c>
      <c r="F27" t="n">
        <v>12.31</v>
      </c>
      <c r="G27" t="n">
        <v>22</v>
      </c>
      <c r="H27" t="n">
        <v>11.96</v>
      </c>
      <c r="I27" t="n">
        <v>13.45</v>
      </c>
    </row>
    <row r="28">
      <c r="A28" t="n">
        <v>23</v>
      </c>
      <c r="B28" t="n">
        <v>11.85</v>
      </c>
      <c r="C28" t="n">
        <v>13.05</v>
      </c>
      <c r="D28" t="n">
        <v>23</v>
      </c>
      <c r="E28" t="n">
        <v>11.42</v>
      </c>
      <c r="F28" t="n">
        <v>12.13</v>
      </c>
      <c r="G28" t="n">
        <v>23</v>
      </c>
      <c r="H28" t="n">
        <v>11.48</v>
      </c>
      <c r="I28" t="n">
        <v>12.62</v>
      </c>
    </row>
    <row r="29">
      <c r="A29" s="3" t="inlineStr">
        <is>
          <t>注: 風力大/小＝各季節内で日次風力発電量（制御前）の上位/下位1/3の日（日数: 需要期・夏 62:62 / 需要期・冬 91:91 / 不需要期 183:183）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4" t="inlineStr">
        <is>
          <t>風力の日次水準（三分位）× 裁定指標（FY2023-25・日次平均）</t>
        </is>
      </c>
    </row>
    <row r="3">
      <c r="A3" s="2" t="inlineStr">
        <is>
          <t>季節</t>
        </is>
      </c>
      <c r="B3" s="2" t="inlineStr">
        <is>
          <t>風力三分位</t>
        </is>
      </c>
      <c r="C3" s="2" t="inlineStr">
        <is>
          <t>TB4hスプレッド(円/kWh)</t>
        </is>
      </c>
      <c r="D3" s="2" t="inlineStr">
        <is>
          <t>PF粗利(円/kW-日)</t>
        </is>
      </c>
      <c r="E3" s="2" t="inlineStr">
        <is>
          <t>床時間(h/日)</t>
        </is>
      </c>
      <c r="F3" s="2" t="inlineStr">
        <is>
          <t>安値分断(h/日)</t>
        </is>
      </c>
      <c r="H3" s="2" t="inlineStr">
        <is>
          <t>風力三分位</t>
        </is>
      </c>
      <c r="I3" s="2" t="inlineStr">
        <is>
          <t>不需要期</t>
        </is>
      </c>
      <c r="J3" s="2" t="inlineStr">
        <is>
          <t>需要期・冬</t>
        </is>
      </c>
      <c r="K3" s="2" t="inlineStr">
        <is>
          <t>需要期・夏</t>
        </is>
      </c>
    </row>
    <row r="4">
      <c r="A4" t="inlineStr">
        <is>
          <t>需要期・夏</t>
        </is>
      </c>
      <c r="B4" t="inlineStr">
        <is>
          <t>風力小</t>
        </is>
      </c>
      <c r="C4" t="n">
        <v>10.72</v>
      </c>
      <c r="D4" t="n">
        <v>31.2</v>
      </c>
      <c r="E4" t="n">
        <v>0.13</v>
      </c>
      <c r="F4" t="n">
        <v>8.1</v>
      </c>
      <c r="H4" t="inlineStr">
        <is>
          <t>風力小</t>
        </is>
      </c>
      <c r="I4" t="n">
        <v>32.1</v>
      </c>
      <c r="J4" t="n">
        <v>19</v>
      </c>
      <c r="K4" t="n">
        <v>31.2</v>
      </c>
    </row>
    <row r="5">
      <c r="A5" t="inlineStr">
        <is>
          <t>需要期・夏</t>
        </is>
      </c>
      <c r="B5" t="inlineStr">
        <is>
          <t>中位</t>
        </is>
      </c>
      <c r="C5" t="n">
        <v>10.4</v>
      </c>
      <c r="D5" t="n">
        <v>30.4</v>
      </c>
      <c r="E5" t="n">
        <v>0.03</v>
      </c>
      <c r="F5" t="n">
        <v>7.9</v>
      </c>
      <c r="H5" t="inlineStr">
        <is>
          <t>中位</t>
        </is>
      </c>
      <c r="I5" t="n">
        <v>31.7</v>
      </c>
      <c r="J5" t="n">
        <v>16.1</v>
      </c>
      <c r="K5" t="n">
        <v>30.4</v>
      </c>
    </row>
    <row r="6">
      <c r="A6" t="inlineStr">
        <is>
          <t>需要期・夏</t>
        </is>
      </c>
      <c r="B6" t="inlineStr">
        <is>
          <t>風力大</t>
        </is>
      </c>
      <c r="C6" t="n">
        <v>10.38</v>
      </c>
      <c r="D6" t="n">
        <v>30.7</v>
      </c>
      <c r="E6" t="n">
        <v>0.06</v>
      </c>
      <c r="F6" t="n">
        <v>10.3</v>
      </c>
      <c r="H6" t="inlineStr">
        <is>
          <t>風力大</t>
        </is>
      </c>
      <c r="I6" t="n">
        <v>31.6</v>
      </c>
      <c r="J6" t="n">
        <v>15.3</v>
      </c>
      <c r="K6" t="n">
        <v>30.7</v>
      </c>
    </row>
    <row r="7">
      <c r="A7" t="inlineStr">
        <is>
          <t>需要期・冬</t>
        </is>
      </c>
      <c r="B7" t="inlineStr">
        <is>
          <t>風力小</t>
        </is>
      </c>
      <c r="C7" t="n">
        <v>7.24</v>
      </c>
      <c r="D7" t="n">
        <v>19</v>
      </c>
      <c r="E7" t="n">
        <v>0.02</v>
      </c>
      <c r="F7" t="n">
        <v>3.1</v>
      </c>
    </row>
    <row r="8">
      <c r="A8" t="inlineStr">
        <is>
          <t>需要期・冬</t>
        </is>
      </c>
      <c r="B8" t="inlineStr">
        <is>
          <t>中位</t>
        </is>
      </c>
      <c r="C8" t="n">
        <v>6.43</v>
      </c>
      <c r="D8" t="n">
        <v>16.1</v>
      </c>
      <c r="E8" t="n">
        <v>0</v>
      </c>
      <c r="F8" t="n">
        <v>5.2</v>
      </c>
    </row>
    <row r="9">
      <c r="A9" t="inlineStr">
        <is>
          <t>需要期・冬</t>
        </is>
      </c>
      <c r="B9" t="inlineStr">
        <is>
          <t>風力大</t>
        </is>
      </c>
      <c r="C9" t="n">
        <v>5.92</v>
      </c>
      <c r="D9" t="n">
        <v>15.3</v>
      </c>
      <c r="E9" t="n">
        <v>0.04</v>
      </c>
      <c r="F9" t="n">
        <v>8.300000000000001</v>
      </c>
    </row>
    <row r="10">
      <c r="A10" t="inlineStr">
        <is>
          <t>不需要期</t>
        </is>
      </c>
      <c r="B10" t="inlineStr">
        <is>
          <t>風力小</t>
        </is>
      </c>
      <c r="C10" t="n">
        <v>10.61</v>
      </c>
      <c r="D10" t="n">
        <v>32.1</v>
      </c>
      <c r="E10" t="n">
        <v>0.62</v>
      </c>
      <c r="F10" t="n">
        <v>4.8</v>
      </c>
    </row>
    <row r="11">
      <c r="A11" t="inlineStr">
        <is>
          <t>不需要期</t>
        </is>
      </c>
      <c r="B11" t="inlineStr">
        <is>
          <t>中位</t>
        </is>
      </c>
      <c r="C11" t="n">
        <v>10.35</v>
      </c>
      <c r="D11" t="n">
        <v>31.7</v>
      </c>
      <c r="E11" t="n">
        <v>1.19</v>
      </c>
      <c r="F11" t="n">
        <v>6.5</v>
      </c>
    </row>
    <row r="12">
      <c r="A12" t="inlineStr">
        <is>
          <t>不需要期</t>
        </is>
      </c>
      <c r="B12" t="inlineStr">
        <is>
          <t>風力大</t>
        </is>
      </c>
      <c r="C12" t="n">
        <v>10.19</v>
      </c>
      <c r="D12" t="n">
        <v>31.6</v>
      </c>
      <c r="E12" t="n">
        <v>1.19</v>
      </c>
      <c r="F12" t="n">
        <v>9.199999999999999</v>
      </c>
    </row>
    <row r="14">
      <c r="A14" s="3" t="inlineStr">
        <is>
          <t>注: TB4h=上位4h平均−下位4h平均。PF粗利=完全予見4h・η0.85。安値分断=道内&lt;システム−0.01円の時間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4" t="inlineStr">
        <is>
          <t>duration曲線: 完全予見裁定価値のh依存（実績価格、FY2023-25平均）＋容量市場κ(h)</t>
        </is>
      </c>
    </row>
    <row r="3">
      <c r="A3" s="2" t="inlineStr">
        <is>
          <t>時間率</t>
        </is>
      </c>
      <c r="B3" s="2" t="inlineStr">
        <is>
          <t>PF価値(円/kW-年, FY23-25平均)</t>
        </is>
      </c>
      <c r="C3" s="2" t="inlineStr">
        <is>
          <t>4h比</t>
        </is>
      </c>
      <c r="D3" s="2" t="inlineStr">
        <is>
          <t>容量市場κ(h) 2029年度</t>
        </is>
      </c>
    </row>
    <row r="4">
      <c r="A4" t="inlineStr">
        <is>
          <t>2h</t>
        </is>
      </c>
      <c r="B4" t="n">
        <v>6026</v>
      </c>
      <c r="C4" t="n">
        <v>0.58</v>
      </c>
      <c r="D4" t="inlineStr">
        <is>
          <t>—</t>
        </is>
      </c>
    </row>
    <row r="5">
      <c r="A5" t="inlineStr">
        <is>
          <t>4h</t>
        </is>
      </c>
      <c r="B5" t="n">
        <v>10317</v>
      </c>
      <c r="C5" t="n">
        <v>1</v>
      </c>
      <c r="D5" t="inlineStr">
        <is>
          <t>83.6%</t>
        </is>
      </c>
    </row>
    <row r="6">
      <c r="A6" t="inlineStr">
        <is>
          <t>6h</t>
        </is>
      </c>
      <c r="B6" t="n">
        <v>13062</v>
      </c>
      <c r="C6" t="n">
        <v>1.27</v>
      </c>
      <c r="D6" t="inlineStr">
        <is>
          <t>93.2%</t>
        </is>
      </c>
    </row>
    <row r="7">
      <c r="A7" t="inlineStr">
        <is>
          <t>8h</t>
        </is>
      </c>
      <c r="B7" t="n">
        <v>14354</v>
      </c>
      <c r="C7" t="n">
        <v>1.39</v>
      </c>
      <c r="D7" t="inlineStr">
        <is>
          <t>98.3%</t>
        </is>
      </c>
    </row>
    <row r="9">
      <c r="A9" s="3" t="inlineStr">
        <is>
          <t>注: 出力1kWあたり。hを増やすと総価値は増えるが限界価値は逓減（浅い谷・鋭いピークの形状による）。κはOCCTO調整係数（北海道・蓄電池）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4" t="inlineStr">
        <is>
          <t>日次発電量（五分位）× 日平均価格・日内TB4hスプレッド（FY2023-25、季節別）</t>
        </is>
      </c>
    </row>
    <row r="3">
      <c r="A3" s="5" t="inlineStr">
        <is>
          <t>■ 風力</t>
        </is>
      </c>
    </row>
    <row r="4">
      <c r="A4" s="6" t="inlineStr">
        <is>
          <t>五分位</t>
        </is>
      </c>
      <c r="B4" s="6" t="inlineStr">
        <is>
          <t>需要期・夏 発電量GWh</t>
        </is>
      </c>
      <c r="C4" s="6" t="inlineStr">
        <is>
          <t>需要期・夏 平均価格</t>
        </is>
      </c>
      <c r="D4" s="6" t="inlineStr">
        <is>
          <t>需要期・夏 TB4h</t>
        </is>
      </c>
      <c r="E4" s="6" t="inlineStr">
        <is>
          <t>需要期・夏 日内SD</t>
        </is>
      </c>
      <c r="F4" s="6" t="inlineStr">
        <is>
          <t>需要期・冬 発電量GWh</t>
        </is>
      </c>
      <c r="G4" s="6" t="inlineStr">
        <is>
          <t>需要期・冬 平均価格</t>
        </is>
      </c>
      <c r="H4" s="6" t="inlineStr">
        <is>
          <t>需要期・冬 TB4h</t>
        </is>
      </c>
      <c r="I4" s="6" t="inlineStr">
        <is>
          <t>需要期・冬 日内SD</t>
        </is>
      </c>
      <c r="J4" s="6" t="inlineStr">
        <is>
          <t>不需要期 発電量GWh</t>
        </is>
      </c>
      <c r="K4" s="6" t="inlineStr">
        <is>
          <t>不需要期 平均価格</t>
        </is>
      </c>
      <c r="L4" s="6" t="inlineStr">
        <is>
          <t>不需要期 TB4h</t>
        </is>
      </c>
      <c r="M4" s="6" t="inlineStr">
        <is>
          <t>不需要期 日内SD</t>
        </is>
      </c>
    </row>
    <row r="5">
      <c r="A5" t="inlineStr">
        <is>
          <t>Q1</t>
        </is>
      </c>
      <c r="B5" t="n">
        <v>0.9</v>
      </c>
      <c r="C5" t="n">
        <v>12.75</v>
      </c>
      <c r="D5" t="n">
        <v>10.3</v>
      </c>
      <c r="E5" t="n">
        <v>3.82</v>
      </c>
      <c r="F5" t="n">
        <v>3.7</v>
      </c>
      <c r="G5" t="n">
        <v>13.13</v>
      </c>
      <c r="H5" t="n">
        <v>7.19</v>
      </c>
      <c r="I5" t="n">
        <v>2.55</v>
      </c>
      <c r="J5" t="n">
        <v>2.3</v>
      </c>
      <c r="K5" t="n">
        <v>12.51</v>
      </c>
      <c r="L5" t="n">
        <v>10.9</v>
      </c>
      <c r="M5" t="n">
        <v>3.98</v>
      </c>
    </row>
    <row r="6">
      <c r="A6" t="inlineStr">
        <is>
          <t>Q2</t>
        </is>
      </c>
      <c r="B6" t="n">
        <v>2.5</v>
      </c>
      <c r="C6" t="n">
        <v>13.6</v>
      </c>
      <c r="D6" t="n">
        <v>11.6</v>
      </c>
      <c r="E6" t="n">
        <v>4.24</v>
      </c>
      <c r="F6" t="n">
        <v>7</v>
      </c>
      <c r="G6" t="n">
        <v>12.69</v>
      </c>
      <c r="H6" t="n">
        <v>7.03</v>
      </c>
      <c r="I6" t="n">
        <v>2.52</v>
      </c>
      <c r="J6" t="n">
        <v>4.9</v>
      </c>
      <c r="K6" t="n">
        <v>11.79</v>
      </c>
      <c r="L6" t="n">
        <v>10.06</v>
      </c>
      <c r="M6" t="n">
        <v>3.66</v>
      </c>
    </row>
    <row r="7">
      <c r="A7" t="inlineStr">
        <is>
          <t>Q3</t>
        </is>
      </c>
      <c r="B7" t="n">
        <v>4.6</v>
      </c>
      <c r="C7" t="n">
        <v>12.41</v>
      </c>
      <c r="D7" t="n">
        <v>10.37</v>
      </c>
      <c r="E7" t="n">
        <v>3.71</v>
      </c>
      <c r="F7" t="n">
        <v>9.9</v>
      </c>
      <c r="G7" t="n">
        <v>12.78</v>
      </c>
      <c r="H7" t="n">
        <v>6.53</v>
      </c>
      <c r="I7" t="n">
        <v>2.36</v>
      </c>
      <c r="J7" t="n">
        <v>7.4</v>
      </c>
      <c r="K7" t="n">
        <v>10.98</v>
      </c>
      <c r="L7" t="n">
        <v>10.24</v>
      </c>
      <c r="M7" t="n">
        <v>3.77</v>
      </c>
    </row>
    <row r="8">
      <c r="A8" t="inlineStr">
        <is>
          <t>Q4</t>
        </is>
      </c>
      <c r="B8" t="n">
        <v>7.1</v>
      </c>
      <c r="C8" t="n">
        <v>12.08</v>
      </c>
      <c r="D8" t="n">
        <v>10.02</v>
      </c>
      <c r="E8" t="n">
        <v>3.57</v>
      </c>
      <c r="F8" t="n">
        <v>13.4</v>
      </c>
      <c r="G8" t="n">
        <v>11.77</v>
      </c>
      <c r="H8" t="n">
        <v>6.05</v>
      </c>
      <c r="I8" t="n">
        <v>2.17</v>
      </c>
      <c r="J8" t="n">
        <v>10</v>
      </c>
      <c r="K8" t="n">
        <v>10.66</v>
      </c>
      <c r="L8" t="n">
        <v>11</v>
      </c>
      <c r="M8" t="n">
        <v>3.99</v>
      </c>
    </row>
    <row r="9">
      <c r="A9" t="inlineStr">
        <is>
          <t>Q5</t>
        </is>
      </c>
      <c r="B9" t="n">
        <v>10.5</v>
      </c>
      <c r="C9" t="n">
        <v>12.22</v>
      </c>
      <c r="D9" t="n">
        <v>10.23</v>
      </c>
      <c r="E9" t="n">
        <v>3.67</v>
      </c>
      <c r="F9" t="n">
        <v>17.7</v>
      </c>
      <c r="G9" t="n">
        <v>11.15</v>
      </c>
      <c r="H9" t="n">
        <v>5.86</v>
      </c>
      <c r="I9" t="n">
        <v>2.11</v>
      </c>
      <c r="J9" t="n">
        <v>14.3</v>
      </c>
      <c r="K9" t="n">
        <v>10.46</v>
      </c>
      <c r="L9" t="n">
        <v>9.710000000000001</v>
      </c>
      <c r="M9" t="n">
        <v>3.5</v>
      </c>
    </row>
    <row r="12">
      <c r="A12" s="5" t="inlineStr">
        <is>
          <t>■ 太陽光</t>
        </is>
      </c>
    </row>
    <row r="13">
      <c r="A13" s="6" t="inlineStr">
        <is>
          <t>五分位</t>
        </is>
      </c>
      <c r="B13" s="6" t="inlineStr">
        <is>
          <t>需要期・夏 発電量GWh</t>
        </is>
      </c>
      <c r="C13" s="6" t="inlineStr">
        <is>
          <t>需要期・夏 平均価格</t>
        </is>
      </c>
      <c r="D13" s="6" t="inlineStr">
        <is>
          <t>需要期・夏 TB4h</t>
        </is>
      </c>
      <c r="E13" s="6" t="inlineStr">
        <is>
          <t>需要期・夏 日内SD</t>
        </is>
      </c>
      <c r="F13" s="6" t="inlineStr">
        <is>
          <t>需要期・冬 発電量GWh</t>
        </is>
      </c>
      <c r="G13" s="6" t="inlineStr">
        <is>
          <t>需要期・冬 平均価格</t>
        </is>
      </c>
      <c r="H13" s="6" t="inlineStr">
        <is>
          <t>需要期・冬 TB4h</t>
        </is>
      </c>
      <c r="I13" s="6" t="inlineStr">
        <is>
          <t>需要期・冬 日内SD</t>
        </is>
      </c>
      <c r="J13" s="6" t="inlineStr">
        <is>
          <t>不需要期 発電量GWh</t>
        </is>
      </c>
      <c r="K13" s="6" t="inlineStr">
        <is>
          <t>不需要期 平均価格</t>
        </is>
      </c>
      <c r="L13" s="6" t="inlineStr">
        <is>
          <t>不需要期 TB4h</t>
        </is>
      </c>
      <c r="M13" s="6" t="inlineStr">
        <is>
          <t>不需要期 日内SD</t>
        </is>
      </c>
    </row>
    <row r="14">
      <c r="A14" t="inlineStr">
        <is>
          <t>Q1</t>
        </is>
      </c>
      <c r="B14" t="n">
        <v>5.3</v>
      </c>
      <c r="C14" t="n">
        <v>13.09</v>
      </c>
      <c r="D14" t="n">
        <v>9.050000000000001</v>
      </c>
      <c r="E14" t="n">
        <v>3.36</v>
      </c>
      <c r="F14" t="n">
        <v>2.6</v>
      </c>
      <c r="G14" t="n">
        <v>12.22</v>
      </c>
      <c r="H14" t="n">
        <v>5.92</v>
      </c>
      <c r="I14" t="n">
        <v>2.16</v>
      </c>
      <c r="J14" t="n">
        <v>4.5</v>
      </c>
      <c r="K14" t="n">
        <v>12.44</v>
      </c>
      <c r="L14" t="n">
        <v>8.220000000000001</v>
      </c>
      <c r="M14" t="n">
        <v>2.95</v>
      </c>
    </row>
    <row r="15">
      <c r="A15" t="inlineStr">
        <is>
          <t>Q2</t>
        </is>
      </c>
      <c r="B15" t="n">
        <v>8.199999999999999</v>
      </c>
      <c r="C15" t="n">
        <v>13.15</v>
      </c>
      <c r="D15" t="n">
        <v>10.93</v>
      </c>
      <c r="E15" t="n">
        <v>3.97</v>
      </c>
      <c r="F15" t="n">
        <v>4.6</v>
      </c>
      <c r="G15" t="n">
        <v>12.09</v>
      </c>
      <c r="H15" t="n">
        <v>6.18</v>
      </c>
      <c r="I15" t="n">
        <v>2.19</v>
      </c>
      <c r="J15" t="n">
        <v>7.6</v>
      </c>
      <c r="K15" t="n">
        <v>12</v>
      </c>
      <c r="L15" t="n">
        <v>9.800000000000001</v>
      </c>
      <c r="M15" t="n">
        <v>3.5</v>
      </c>
    </row>
    <row r="16">
      <c r="A16" t="inlineStr">
        <is>
          <t>Q3</t>
        </is>
      </c>
      <c r="B16" t="n">
        <v>9.9</v>
      </c>
      <c r="C16" t="n">
        <v>12.45</v>
      </c>
      <c r="D16" t="n">
        <v>10.15</v>
      </c>
      <c r="E16" t="n">
        <v>3.62</v>
      </c>
      <c r="F16" t="n">
        <v>5.6</v>
      </c>
      <c r="G16" t="n">
        <v>12.89</v>
      </c>
      <c r="H16" t="n">
        <v>7.46</v>
      </c>
      <c r="I16" t="n">
        <v>2.64</v>
      </c>
      <c r="J16" t="n">
        <v>9.6</v>
      </c>
      <c r="K16" t="n">
        <v>11.73</v>
      </c>
      <c r="L16" t="n">
        <v>10.84</v>
      </c>
      <c r="M16" t="n">
        <v>3.92</v>
      </c>
    </row>
    <row r="17">
      <c r="A17" t="inlineStr">
        <is>
          <t>Q4</t>
        </is>
      </c>
      <c r="B17" t="n">
        <v>12.2</v>
      </c>
      <c r="C17" t="n">
        <v>12.03</v>
      </c>
      <c r="D17" t="n">
        <v>9.9</v>
      </c>
      <c r="E17" t="n">
        <v>3.59</v>
      </c>
      <c r="F17" t="n">
        <v>6.6</v>
      </c>
      <c r="G17" t="n">
        <v>13</v>
      </c>
      <c r="H17" t="n">
        <v>6.65</v>
      </c>
      <c r="I17" t="n">
        <v>2.4</v>
      </c>
      <c r="J17" t="n">
        <v>11.8</v>
      </c>
      <c r="K17" t="n">
        <v>10.54</v>
      </c>
      <c r="L17" t="n">
        <v>10.94</v>
      </c>
      <c r="M17" t="n">
        <v>4.05</v>
      </c>
    </row>
    <row r="18">
      <c r="A18" t="inlineStr">
        <is>
          <t>Q5</t>
        </is>
      </c>
      <c r="B18" t="n">
        <v>14.5</v>
      </c>
      <c r="C18" t="n">
        <v>12.33</v>
      </c>
      <c r="D18" t="n">
        <v>12.57</v>
      </c>
      <c r="E18" t="n">
        <v>4.5</v>
      </c>
      <c r="F18" t="n">
        <v>8.800000000000001</v>
      </c>
      <c r="G18" t="n">
        <v>11.36</v>
      </c>
      <c r="H18" t="n">
        <v>6.48</v>
      </c>
      <c r="I18" t="n">
        <v>2.32</v>
      </c>
      <c r="J18" t="n">
        <v>15.1</v>
      </c>
      <c r="K18" t="n">
        <v>9.68</v>
      </c>
      <c r="L18" t="n">
        <v>12.12</v>
      </c>
      <c r="M18" t="n">
        <v>4.48</v>
      </c>
    </row>
    <row r="36">
      <c r="A36" s="3" t="inlineStr">
        <is>
          <t>注: 五分位＝各季節内の日次発電量（制御前）による5等分。TB4h＝上位4h平均−下位4h平均。風力のTB4hはほぼ平坦（形状不変）、太陽光は不需要期に急拡大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2026-08-17T03:15:40Z</dcterms:created>
  <dcterms:modified xsi:type="dcterms:W3CDTF">2026-09-29T09:51:13Z</dcterms:modified>
</cp:coreProperties>
</file>